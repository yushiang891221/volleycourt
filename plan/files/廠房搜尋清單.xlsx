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廠房清單" sheetId="2" state="visible" r:id="rId4"/>
    <sheet name="規格門檻" sheetId="3" state="visible" r:id="rId5"/>
    <sheet name="場館尺寸對照" sheetId="4" state="visible" r:id="rId6"/>
    <sheet name="複合式配置" sheetId="5" state="visible" r:id="rId7"/>
  </sheets>
  <definedNames>
    <definedName function="false" hidden="true" localSheetId="1" name="_xlnm._FilterDatabase" vbProcedure="false">廠房清單!$A$4:$AD$27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6" authorId="0">
      <text>
        <r>
          <rPr>
            <sz val="10"/>
            <rFont val="Noto Sans CJK SC"/>
            <family val="2"/>
          </rPr>
          <t xml:space="preserve">推估：多層樓用「總坪數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樓層數」；頂樓或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樓填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。看屋後改成實際一樓面積。</t>
        </r>
      </text>
    </comment>
    <comment ref="H17" authorId="0">
      <text>
        <r>
          <rPr>
            <sz val="10"/>
            <rFont val="Noto Sans CJK SC"/>
            <family val="2"/>
          </rPr>
          <t xml:space="preserve">推估：多層樓用「總坪數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樓層數」；頂樓或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樓填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。看屋後改成實際一樓面積。</t>
        </r>
      </text>
    </comment>
    <comment ref="H18" authorId="0">
      <text>
        <r>
          <rPr>
            <sz val="10"/>
            <rFont val="Noto Sans CJK SC"/>
            <family val="2"/>
          </rPr>
          <t xml:space="preserve">推估：多層樓用「總坪數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樓層數」；頂樓或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樓填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。看屋後改成實際一樓面積。</t>
        </r>
      </text>
    </comment>
    <comment ref="H20" authorId="0">
      <text>
        <r>
          <rPr>
            <sz val="10"/>
            <rFont val="Noto Sans CJK SC"/>
            <family val="2"/>
          </rPr>
          <t xml:space="preserve">推估：多層樓用「總坪數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樓層數」；頂樓或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樓填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。看屋後改成實際一樓面積。</t>
        </r>
      </text>
    </comment>
    <comment ref="H21" authorId="0">
      <text>
        <r>
          <rPr>
            <sz val="10"/>
            <rFont val="Noto Sans CJK SC"/>
            <family val="2"/>
          </rPr>
          <t xml:space="preserve">推估：多層樓用「總坪數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樓層數」；頂樓或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樓填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。看屋後改成實際一樓面積。</t>
        </r>
      </text>
    </comment>
    <comment ref="H23" authorId="0">
      <text>
        <r>
          <rPr>
            <sz val="10"/>
            <rFont val="Noto Sans CJK SC"/>
            <family val="2"/>
          </rPr>
          <t xml:space="preserve">推估：多層樓用「總坪數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樓層數」；頂樓或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樓填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。看屋後改成實際一樓面積。</t>
        </r>
      </text>
    </comment>
    <comment ref="H27" authorId="0">
      <text>
        <r>
          <rPr>
            <sz val="10"/>
            <rFont val="Noto Sans CJK SC"/>
            <family val="2"/>
          </rPr>
          <t xml:space="preserve">推估：多層樓用「總坪數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樓層數」；頂樓或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樓填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。看屋後改成實際一樓面積。</t>
        </r>
      </text>
    </comment>
    <comment ref="K6" authorId="0">
      <text>
        <r>
          <rPr>
            <sz val="10"/>
            <rFont val="Noto Sans CJK SC"/>
            <family val="2"/>
          </rPr>
          <t xml:space="preserve">刊登寫「挑高」，沒寫米數</t>
        </r>
      </text>
    </comment>
    <comment ref="K7" authorId="0">
      <text>
        <r>
          <rPr>
            <sz val="10"/>
            <rFont val="Noto Sans CJK SC"/>
            <family val="2"/>
          </rPr>
          <t xml:space="preserve">刊登寫「挑高」，沒寫米數</t>
        </r>
      </text>
    </comment>
    <comment ref="K8" authorId="0">
      <text>
        <r>
          <rPr>
            <sz val="10"/>
            <rFont val="Noto Sans CJK SC"/>
            <family val="2"/>
          </rPr>
          <t xml:space="preserve">未寫</t>
        </r>
      </text>
    </comment>
    <comment ref="K9" authorId="0">
      <text>
        <r>
          <rPr>
            <sz val="10"/>
            <rFont val="Noto Sans CJK SC"/>
            <family val="2"/>
          </rPr>
          <t xml:space="preserve">刊登寫「挑高」，沒寫米數</t>
        </r>
      </text>
    </comment>
    <comment ref="K10" authorId="0">
      <text>
        <r>
          <rPr>
            <sz val="10"/>
            <rFont val="Noto Sans CJK SC"/>
            <family val="2"/>
          </rPr>
          <t xml:space="preserve">未寫</t>
        </r>
      </text>
    </comment>
    <comment ref="K11" authorId="0">
      <text>
        <r>
          <rPr>
            <sz val="10"/>
            <rFont val="Noto Sans CJK SC"/>
            <family val="2"/>
          </rPr>
          <t xml:space="preserve">未寫</t>
        </r>
      </text>
    </comment>
    <comment ref="K15" authorId="0">
      <text>
        <r>
          <rPr>
            <sz val="10"/>
            <rFont val="Noto Sans CJK SC"/>
            <family val="2"/>
          </rPr>
          <t xml:space="preserve">未寫</t>
        </r>
      </text>
    </comment>
    <comment ref="K16" authorId="0">
      <text>
        <r>
          <rPr>
            <sz val="10"/>
            <rFont val="Noto Sans CJK SC"/>
            <family val="2"/>
          </rPr>
          <t xml:space="preserve">未寫</t>
        </r>
      </text>
    </comment>
    <comment ref="K17" authorId="0">
      <text>
        <r>
          <rPr>
            <sz val="10"/>
            <rFont val="Noto Sans CJK SC"/>
            <family val="2"/>
          </rPr>
          <t xml:space="preserve">未寫</t>
        </r>
      </text>
    </comment>
    <comment ref="K19" authorId="0">
      <text>
        <r>
          <rPr>
            <sz val="10"/>
            <rFont val="Noto Sans CJK SC"/>
            <family val="2"/>
          </rPr>
          <t xml:space="preserve">刊登寫「約 </t>
        </r>
        <r>
          <rPr>
            <sz val="10"/>
            <rFont val="Arial"/>
            <family val="2"/>
          </rPr>
          <t xml:space="preserve">7 </t>
        </r>
        <r>
          <rPr>
            <sz val="10"/>
            <rFont val="Noto Sans CJK SC"/>
            <family val="2"/>
          </rPr>
          <t xml:space="preserve">米」</t>
        </r>
      </text>
    </comment>
    <comment ref="K23" authorId="0">
      <text>
        <r>
          <rPr>
            <sz val="10"/>
            <rFont val="Noto Sans CJK SC"/>
            <family val="2"/>
          </rPr>
          <t xml:space="preserve">標示挑高 </t>
        </r>
        <r>
          <rPr>
            <sz val="10"/>
            <rFont val="Arial"/>
            <family val="2"/>
          </rPr>
          <t xml:space="preserve">7 m</t>
        </r>
        <r>
          <rPr>
            <sz val="10"/>
            <rFont val="Noto Sans CJK SC"/>
            <family val="2"/>
          </rPr>
          <t xml:space="preserve">，要實測</t>
        </r>
      </text>
    </comment>
    <comment ref="K26" authorId="0">
      <text>
        <r>
          <rPr>
            <sz val="10"/>
            <rFont val="Noto Sans CJK SC"/>
            <family val="2"/>
          </rPr>
          <t xml:space="preserve">刊登寫「挑高」</t>
        </r>
      </text>
    </comment>
  </commentList>
</comments>
</file>

<file path=xl/sharedStrings.xml><?xml version="1.0" encoding="utf-8"?>
<sst xmlns="http://schemas.openxmlformats.org/spreadsheetml/2006/main" count="373" uniqueCount="252">
  <si>
    <t xml:space="preserve">新竹排球館｜廠房搜尋清單</t>
  </si>
  <si>
    <r>
      <rPr>
        <sz val="10"/>
        <color rgb="FF5A6472"/>
        <rFont val="Noto Sans CJK SC"/>
        <family val="2"/>
      </rPr>
      <t xml:space="preserve">整理日期：</t>
    </r>
    <r>
      <rPr>
        <sz val="10"/>
        <color rgb="FF5A6472"/>
        <rFont val="Arial"/>
        <family val="0"/>
        <charset val="1"/>
      </rPr>
      <t xml:space="preserve">2026/10/22</t>
    </r>
    <r>
      <rPr>
        <sz val="10"/>
        <color rgb="FF5A6472"/>
        <rFont val="Noto Sans CJK SC"/>
        <family val="2"/>
      </rPr>
      <t xml:space="preserve">。刊登價可議價，物件隨時下架；淨高、長寬一定要到現場用雷射測距儀量。</t>
    </r>
  </si>
  <si>
    <t xml:space="preserve">怎麼用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</si>
  <si>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「廠房清單」每一列是一個物件。看屋或打電話後，把黃底格填上：實測淨高、實測長寬、一樓可用坪數、建管回覆。
</t>
    </r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「可放幾面」「建議方案」會自動算：有填長寬就用長寬排，沒填就用坪數估。
</t>
    </r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新找到的物件直接往下一列加，把上一列的公式往下拉即可。</t>
    </r>
  </si>
  <si>
    <t xml:space="preserve">規格怎麼定</t>
  </si>
  <si>
    <r>
      <rPr>
        <sz val="10"/>
        <color rgb="FF000000"/>
        <rFont val="Noto Sans CJK SC"/>
        <family val="2"/>
      </rPr>
      <t xml:space="preserve">「規格門檻」工作表：每面場用多大（龍蝦規格 </t>
    </r>
    <r>
      <rPr>
        <sz val="10"/>
        <color rgb="FF000000"/>
        <rFont val="Arial"/>
        <family val="0"/>
        <charset val="1"/>
      </rPr>
      <t xml:space="preserve">25×18 m</t>
    </r>
    <r>
      <rPr>
        <sz val="10"/>
        <color rgb="FF000000"/>
        <rFont val="Noto Sans CJK SC"/>
        <family val="2"/>
      </rPr>
      <t xml:space="preserve">、精簡規格 </t>
    </r>
    <r>
      <rPr>
        <sz val="10"/>
        <color rgb="FF000000"/>
        <rFont val="Arial"/>
        <family val="0"/>
        <charset val="1"/>
      </rPr>
      <t xml:space="preserve">24×15 m</t>
    </r>
    <r>
      <rPr>
        <sz val="10"/>
        <color rgb="FF000000"/>
        <rFont val="Noto Sans CJK SC"/>
        <family val="2"/>
      </rPr>
      <t xml:space="preserve">）、公共區要幾坪、淨高門檻。改那裡，所有物件會一起重算。</t>
    </r>
  </si>
  <si>
    <t xml:space="preserve">兩種方向</t>
  </si>
  <si>
    <r>
      <rPr>
        <sz val="10"/>
        <color rgb="FF000000"/>
        <rFont val="Noto Sans CJK SC"/>
        <family val="2"/>
      </rPr>
      <t xml:space="preserve">龍蝦的大小打起來很舒服，適合直接做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面專業排球場（約 </t>
    </r>
    <r>
      <rPr>
        <sz val="10"/>
        <color rgb="FF000000"/>
        <rFont val="Arial"/>
        <family val="0"/>
        <charset val="1"/>
      </rPr>
      <t xml:space="preserve">310 </t>
    </r>
    <r>
      <rPr>
        <sz val="10"/>
        <color rgb="FF000000"/>
        <rFont val="Noto Sans CJK SC"/>
        <family val="2"/>
      </rPr>
      <t xml:space="preserve">坪）。
如果只找得到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面場的空間（約 </t>
    </r>
    <r>
      <rPr>
        <sz val="10"/>
        <color rgb="FF000000"/>
        <rFont val="Arial"/>
        <family val="0"/>
        <charset val="1"/>
      </rPr>
      <t xml:space="preserve">150–180 </t>
    </r>
    <r>
      <rPr>
        <sz val="10"/>
        <color rgb="FF000000"/>
        <rFont val="Noto Sans CJK SC"/>
        <family val="2"/>
      </rPr>
      <t xml:space="preserve">坪），比較適合做「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面排球＋複合式」：同一塊地也能排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面羽球、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面匹克球或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個籃球半場，見「複合式配置」。</t>
    </r>
  </si>
  <si>
    <t xml:space="preserve">顏色</t>
  </si>
  <si>
    <t xml:space="preserve">藍字＝查到的刊登資料　黑字＝公式　綠字＝引用其他工作表　黃底＝要自己量、自己問或可調整的假設</t>
  </si>
  <si>
    <t xml:space="preserve">距離</t>
  </si>
  <si>
    <r>
      <rPr>
        <sz val="10"/>
        <color rgb="FF000000"/>
        <rFont val="Noto Sans CJK SC"/>
        <family val="2"/>
      </rPr>
      <t xml:space="preserve">「離最近私人球館」是直線距離，用地圖上的物件位置和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間私人球館位置算出，實際車程通常再多 </t>
    </r>
    <r>
      <rPr>
        <sz val="10"/>
        <color rgb="FF000000"/>
        <rFont val="Arial"/>
        <family val="0"/>
        <charset val="1"/>
      </rPr>
      <t xml:space="preserve">3–5 </t>
    </r>
    <r>
      <rPr>
        <sz val="10"/>
        <color rgb="FF000000"/>
        <rFont val="Noto Sans CJK SC"/>
        <family val="2"/>
      </rPr>
      <t xml:space="preserve">成。物件位置多半只知道路段，誤差約幾百公尺。</t>
    </r>
  </si>
  <si>
    <t xml:space="preserve">找物件的管道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</si>
  <si>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廠房出租、樂屋網、</t>
    </r>
    <r>
      <rPr>
        <sz val="10"/>
        <color rgb="FF000000"/>
        <rFont val="Arial"/>
        <family val="0"/>
        <charset val="1"/>
      </rPr>
      <t xml:space="preserve">MixRent</t>
    </r>
    <r>
      <rPr>
        <sz val="10"/>
        <color rgb="FF000000"/>
        <rFont val="Noto Sans CJK SC"/>
        <family val="2"/>
      </rPr>
      <t xml:space="preserve">、新竹租屋網；工業地產仲介（直接講需求：一樓、無柱、淨高 </t>
    </r>
    <r>
      <rPr>
        <sz val="10"/>
        <color rgb="FF000000"/>
        <rFont val="Arial"/>
        <family val="0"/>
        <charset val="1"/>
      </rPr>
      <t xml:space="preserve">7 m </t>
    </r>
    <r>
      <rPr>
        <sz val="10"/>
        <color rgb="FF000000"/>
        <rFont val="Noto Sans CJK SC"/>
        <family val="2"/>
      </rPr>
      <t xml:space="preserve">以上、</t>
    </r>
    <r>
      <rPr>
        <sz val="10"/>
        <color rgb="FF000000"/>
        <rFont val="Arial"/>
        <family val="0"/>
        <charset val="1"/>
      </rPr>
      <t xml:space="preserve">150–310 </t>
    </r>
    <r>
      <rPr>
        <sz val="10"/>
        <color rgb="FF000000"/>
        <rFont val="Noto Sans CJK SC"/>
        <family val="2"/>
      </rPr>
      <t xml:space="preserve">坪）；開車掃街看鐵門上的「吉屋出租」；</t>
    </r>
    <r>
      <rPr>
        <sz val="10"/>
        <color rgb="FF000000"/>
        <rFont val="Arial"/>
        <family val="0"/>
        <charset val="1"/>
      </rPr>
      <t xml:space="preserve">Facebook </t>
    </r>
    <r>
      <rPr>
        <sz val="10"/>
        <color rgb="FF000000"/>
        <rFont val="Noto Sans CJK SC"/>
        <family val="2"/>
      </rPr>
      <t xml:space="preserve">社團「新竹廠房出租」；鄉鎮公所閒置空間。</t>
    </r>
  </si>
  <si>
    <t xml:space="preserve">廠房清單：高度、大小、適合幾面、地點、價格</t>
  </si>
  <si>
    <r>
      <rPr>
        <sz val="10"/>
        <color rgb="FF5A6472"/>
        <rFont val="Noto Sans CJK SC"/>
        <family val="2"/>
      </rPr>
      <t xml:space="preserve">藍字＝刊登資料　黑字＝公式　黃底＝看屋時自己量或問　優先：</t>
    </r>
    <r>
      <rPr>
        <sz val="10"/>
        <color rgb="FF5A6472"/>
        <rFont val="Arial"/>
        <family val="0"/>
        <charset val="1"/>
      </rPr>
      <t xml:space="preserve">A </t>
    </r>
    <r>
      <rPr>
        <sz val="10"/>
        <color rgb="FF5A6472"/>
        <rFont val="Noto Sans CJK SC"/>
        <family val="2"/>
      </rPr>
      <t xml:space="preserve">先聯絡｜</t>
    </r>
    <r>
      <rPr>
        <sz val="10"/>
        <color rgb="FF5A6472"/>
        <rFont val="Arial"/>
        <family val="0"/>
        <charset val="1"/>
      </rPr>
      <t xml:space="preserve">B </t>
    </r>
    <r>
      <rPr>
        <sz val="10"/>
        <color rgb="FF5A6472"/>
        <rFont val="Noto Sans CJK SC"/>
        <family val="2"/>
      </rPr>
      <t xml:space="preserve">有條件可行｜</t>
    </r>
    <r>
      <rPr>
        <sz val="10"/>
        <color rgb="FF5A6472"/>
        <rFont val="Arial"/>
        <family val="0"/>
        <charset val="1"/>
      </rPr>
      <t xml:space="preserve">C </t>
    </r>
    <r>
      <rPr>
        <sz val="10"/>
        <color rgb="FF5A6472"/>
        <rFont val="Noto Sans CJK SC"/>
        <family val="2"/>
      </rPr>
      <t xml:space="preserve">不適合（留作比較）｜參考＝其他地區租金行情</t>
    </r>
  </si>
  <si>
    <t xml:space="preserve">優先</t>
  </si>
  <si>
    <t xml:space="preserve">物件</t>
  </si>
  <si>
    <t xml:space="preserve">鄉鎮</t>
  </si>
  <si>
    <t xml:space="preserve">路段</t>
  </si>
  <si>
    <t xml:space="preserve">使用分區（刊登）</t>
  </si>
  <si>
    <t xml:space="preserve">樓層</t>
  </si>
  <si>
    <t xml:space="preserve">總坪數（刊登）</t>
  </si>
  <si>
    <t xml:space="preserve">一樓可用坪數</t>
  </si>
  <si>
    <t xml:space="preserve">月租（元）</t>
  </si>
  <si>
    <t xml:space="preserve">每坪月租（元）</t>
  </si>
  <si>
    <r>
      <rPr>
        <b val="true"/>
        <sz val="10"/>
        <color rgb="FFFFFFFF"/>
        <rFont val="Noto Sans CJK SC"/>
        <family val="2"/>
      </rPr>
      <t xml:space="preserve">淨高：刊登（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</si>
  <si>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淨高：實測（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</si>
  <si>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實測長（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</si>
  <si>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實測寬（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</si>
  <si>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判斷用淨高（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</si>
  <si>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淨高判斷</t>
  </si>
  <si>
    <t xml:space="preserve">可放幾面：龍蝦規格</t>
  </si>
  <si>
    <t xml:space="preserve">可放幾面：精簡規格</t>
  </si>
  <si>
    <t xml:space="preserve">建議方案</t>
  </si>
  <si>
    <t xml:space="preserve">分區提醒</t>
  </si>
  <si>
    <r>
      <rPr>
        <b val="true"/>
        <sz val="10"/>
        <color rgb="FFFFFFFF"/>
        <rFont val="Noto Sans CJK SC"/>
        <family val="2"/>
      </rPr>
      <t xml:space="preserve">估算月租：租 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Noto Sans CJK SC"/>
        <family val="2"/>
      </rPr>
      <t xml:space="preserve">面龍蝦規格</t>
    </r>
  </si>
  <si>
    <r>
      <rPr>
        <b val="true"/>
        <sz val="10"/>
        <color rgb="FFFFFFFF"/>
        <rFont val="Noto Sans CJK SC"/>
        <family val="2"/>
      </rPr>
      <t xml:space="preserve">離最近私人球館（</t>
    </r>
    <r>
      <rPr>
        <b val="true"/>
        <sz val="10"/>
        <color rgb="FFFFFFFF"/>
        <rFont val="Arial"/>
        <family val="0"/>
        <charset val="1"/>
      </rPr>
      <t xml:space="preserve">km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</si>
  <si>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最近的球館</t>
  </si>
  <si>
    <t xml:space="preserve">重點／要問的</t>
  </si>
  <si>
    <t xml:space="preserve">來源</t>
  </si>
  <si>
    <t xml:space="preserve">連結</t>
  </si>
  <si>
    <t xml:space="preserve">建管回覆</t>
  </si>
  <si>
    <t xml:space="preserve">聯絡人／電話</t>
  </si>
  <si>
    <t xml:space="preserve">看屋日期</t>
  </si>
  <si>
    <t xml:space="preserve">備註</t>
  </si>
  <si>
    <t xml:space="preserve">A</t>
  </si>
  <si>
    <r>
      <rPr>
        <sz val="10"/>
        <color rgb="FF0000FF"/>
        <rFont val="Noto Sans CJK SC"/>
        <family val="2"/>
      </rPr>
      <t xml:space="preserve">竹東工業區 挑高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米合法廠房（大車可進）</t>
    </r>
  </si>
  <si>
    <t xml:space="preserve">竹東鎮</t>
  </si>
  <si>
    <t xml:space="preserve">大明路</t>
  </si>
  <si>
    <t xml:space="preserve">乙種工業區</t>
  </si>
  <si>
    <r>
      <rPr>
        <sz val="10"/>
        <color rgb="FF0000FF"/>
        <rFont val="Noto Sans CJK SC"/>
        <family val="2"/>
      </rPr>
      <t xml:space="preserve">整棟／</t>
    </r>
    <r>
      <rPr>
        <sz val="10"/>
        <color rgb="FF0000FF"/>
        <rFont val="Arial"/>
        <family val="0"/>
        <charset val="1"/>
      </rPr>
      <t xml:space="preserve">1F</t>
    </r>
  </si>
  <si>
    <t xml:space="preserve">就醬瘋</t>
  </si>
  <si>
    <r>
      <rPr>
        <sz val="10"/>
        <color rgb="FF000000"/>
        <rFont val="Noto Sans CJK SC"/>
        <family val="2"/>
      </rPr>
      <t xml:space="preserve">合法廠房、高度最理想。整棟太大，問能否分租約 </t>
    </r>
    <r>
      <rPr>
        <sz val="10"/>
        <color rgb="FF000000"/>
        <rFont val="Arial"/>
        <family val="0"/>
        <charset val="1"/>
      </rPr>
      <t xml:space="preserve">310 </t>
    </r>
    <r>
      <rPr>
        <sz val="10"/>
        <color rgb="FF000000"/>
        <rFont val="Noto Sans CJK SC"/>
        <family val="2"/>
      </rPr>
      <t xml:space="preserve">坪（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面龍蝦規格）與價格</t>
    </r>
  </si>
  <si>
    <t xml:space="preserve">591</t>
  </si>
  <si>
    <t xml:space="preserve">開啟連結</t>
  </si>
  <si>
    <t xml:space="preserve">挑高合法廠房／近竹東火車站／可分租</t>
  </si>
  <si>
    <t xml:space="preserve">零星工業區</t>
  </si>
  <si>
    <t xml:space="preserve">廣告寫「可分租」，可能和上一筆同一棟；問分租坪數與價格</t>
  </si>
  <si>
    <t xml:space="preserve">近芎林交流道竹東市區乙工挑高鋼構廠房</t>
  </si>
  <si>
    <r>
      <rPr>
        <sz val="10"/>
        <color rgb="FF0000FF"/>
        <rFont val="Arial"/>
        <family val="0"/>
        <charset val="1"/>
      </rPr>
      <t xml:space="preserve">1F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1F</t>
    </r>
  </si>
  <si>
    <t xml:space="preserve">同區大型乙工廠房，問是否可分租</t>
  </si>
  <si>
    <r>
      <rPr>
        <sz val="10"/>
        <color rgb="FF0000FF"/>
        <rFont val="Noto Sans CJK SC"/>
        <family val="2"/>
      </rPr>
      <t xml:space="preserve">寶山深井路 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坪鋼構倉庫</t>
    </r>
  </si>
  <si>
    <t xml:space="preserve">寶山鄉</t>
  </si>
  <si>
    <t xml:space="preserve">深井路</t>
  </si>
  <si>
    <t xml:space="preserve">工業用</t>
  </si>
  <si>
    <t xml:space="preserve">排丘</t>
  </si>
  <si>
    <r>
      <rPr>
        <sz val="10"/>
        <color rgb="FF000000"/>
        <rFont val="Noto Sans CJK SC"/>
        <family val="2"/>
      </rPr>
      <t xml:space="preserve">大小接近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面龍蝦規格；問淨高、柱距、確切位置</t>
    </r>
  </si>
  <si>
    <t xml:space="preserve">樂屋網（中信房屋）</t>
  </si>
  <si>
    <t xml:space="preserve">B</t>
  </si>
  <si>
    <t xml:space="preserve">竹東二重埔挑高倉庫</t>
  </si>
  <si>
    <r>
      <rPr>
        <sz val="10"/>
        <color rgb="FF0000FF"/>
        <rFont val="Noto Sans CJK SC"/>
        <family val="2"/>
      </rPr>
      <t xml:space="preserve">中興路二段</t>
    </r>
    <r>
      <rPr>
        <sz val="10"/>
        <color rgb="FF0000FF"/>
        <rFont val="Arial"/>
        <family val="0"/>
        <charset val="1"/>
      </rPr>
      <t xml:space="preserve">88</t>
    </r>
    <r>
      <rPr>
        <sz val="10"/>
        <color rgb="FF0000FF"/>
        <rFont val="Noto Sans CJK SC"/>
        <family val="2"/>
      </rPr>
      <t xml:space="preserve">巷</t>
    </r>
  </si>
  <si>
    <t xml:space="preserve">農業區</t>
  </si>
  <si>
    <r>
      <rPr>
        <sz val="10"/>
        <color rgb="FF000000"/>
        <rFont val="Noto Sans CJK SC"/>
        <family val="2"/>
      </rPr>
      <t xml:space="preserve">大小、租金剛好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面場；農業區很可能不能變更成運動場，先問建管</t>
    </r>
  </si>
  <si>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68 </t>
    </r>
    <r>
      <rPr>
        <sz val="10"/>
        <color rgb="FF0000FF"/>
        <rFont val="Noto Sans CJK SC"/>
        <family val="2"/>
      </rPr>
      <t xml:space="preserve">快速道路倉庫（適釣蝦場、可分租）</t>
    </r>
  </si>
  <si>
    <t xml:space="preserve">北興路三段</t>
  </si>
  <si>
    <r>
      <rPr>
        <sz val="10"/>
        <color rgb="FF000000"/>
        <rFont val="Noto Sans CJK SC"/>
        <family val="2"/>
      </rPr>
      <t xml:space="preserve">可放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面場、單價便宜；農業區要先問建管</t>
    </r>
  </si>
  <si>
    <t xml:space="preserve">正寶山交流道旁萬用大廠房</t>
  </si>
  <si>
    <t xml:space="preserve">大雅二街</t>
  </si>
  <si>
    <t xml:space="preserve">見使用執照</t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</si>
  <si>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面場大小；問使用執照用途、淨高。離大崎球館群很近，等於正面競爭</t>
    </r>
  </si>
  <si>
    <t xml:space="preserve">樂屋網</t>
  </si>
  <si>
    <r>
      <rPr>
        <sz val="10"/>
        <color rgb="FF0000FF"/>
        <rFont val="Noto Sans CJK SC"/>
        <family val="2"/>
      </rPr>
      <t xml:space="preserve">中豐路三段 </t>
    </r>
    <r>
      <rPr>
        <sz val="10"/>
        <color rgb="FF0000FF"/>
        <rFont val="Arial"/>
        <family val="0"/>
        <charset val="1"/>
      </rPr>
      <t xml:space="preserve">427 </t>
    </r>
    <r>
      <rPr>
        <sz val="10"/>
        <color rgb="FF0000FF"/>
        <rFont val="Noto Sans CJK SC"/>
        <family val="2"/>
      </rPr>
      <t xml:space="preserve">巷倉庫（挑高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米、三相電）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筆</t>
    </r>
  </si>
  <si>
    <r>
      <rPr>
        <sz val="10"/>
        <color rgb="FF0000FF"/>
        <rFont val="Noto Sans CJK SC"/>
        <family val="2"/>
      </rPr>
      <t xml:space="preserve">中豐路三段</t>
    </r>
    <r>
      <rPr>
        <sz val="10"/>
        <color rgb="FF0000FF"/>
        <rFont val="Arial"/>
        <family val="0"/>
        <charset val="1"/>
      </rPr>
      <t xml:space="preserve">427</t>
    </r>
    <r>
      <rPr>
        <sz val="10"/>
        <color rgb="FF0000FF"/>
        <rFont val="Noto Sans CJK SC"/>
        <family val="2"/>
      </rPr>
      <t xml:space="preserve">巷</t>
    </r>
  </si>
  <si>
    <t xml:space="preserve">零星工業區／農業區</t>
  </si>
  <si>
    <r>
      <rPr>
        <sz val="10"/>
        <color rgb="FF000000"/>
        <rFont val="Noto Sans CJK SC"/>
        <family val="2"/>
      </rPr>
      <t xml:space="preserve">單間太小；問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間是否相鄰、能否打通合租約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坪（其中一筆寫不可營登）</t>
    </r>
  </si>
  <si>
    <r>
      <rPr>
        <sz val="10"/>
        <color rgb="FF0000FF"/>
        <rFont val="Noto Sans CJK SC"/>
        <family val="2"/>
      </rPr>
      <t xml:space="preserve">二重埔挑高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米工業廠房</t>
    </r>
  </si>
  <si>
    <t xml:space="preserve">二重埔</t>
  </si>
  <si>
    <t xml:space="preserve">讀不到坪數和租金，請直接開連結看</t>
  </si>
  <si>
    <t xml:space="preserve">竹東北埔平價倉庫</t>
  </si>
  <si>
    <t xml:space="preserve">竹東／北埔</t>
  </si>
  <si>
    <t xml:space="preserve">未定位</t>
  </si>
  <si>
    <t xml:space="preserve">讀不到內容，請直接開連結看</t>
  </si>
  <si>
    <t xml:space="preserve">C</t>
  </si>
  <si>
    <r>
      <rPr>
        <sz val="10"/>
        <color rgb="FF0000FF"/>
        <rFont val="Noto Sans CJK SC"/>
        <family val="2"/>
      </rPr>
      <t xml:space="preserve">寶山鄉深井路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坪鋼構倉庫（同路段另有 </t>
    </r>
    <r>
      <rPr>
        <sz val="10"/>
        <color rgb="FF0000FF"/>
        <rFont val="Arial"/>
        <family val="0"/>
        <charset val="1"/>
      </rPr>
      <t xml:space="preserve">900 </t>
    </r>
    <r>
      <rPr>
        <sz val="10"/>
        <color rgb="FF0000FF"/>
        <rFont val="Noto Sans CJK SC"/>
        <family val="2"/>
      </rPr>
      <t xml:space="preserve">坪）</t>
    </r>
  </si>
  <si>
    <t xml:space="preserve">太大；可問能否只租一部分</t>
  </si>
  <si>
    <t xml:space="preserve">寶山交流道三相電大面寬廠房</t>
  </si>
  <si>
    <t xml:space="preserve">頂樓加蓋</t>
  </si>
  <si>
    <t xml:space="preserve">頂樓加蓋，不適合做球場</t>
  </si>
  <si>
    <r>
      <rPr>
        <sz val="10"/>
        <color rgb="FF0000FF"/>
        <rFont val="Noto Sans CJK SC"/>
        <family val="2"/>
      </rPr>
      <t xml:space="preserve">芎林國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旁工業廠房（可廠登）</t>
    </r>
  </si>
  <si>
    <t xml:space="preserve">芎林鄉</t>
  </si>
  <si>
    <t xml:space="preserve">文德路</t>
  </si>
  <si>
    <t xml:space="preserve">丁種工業區</t>
  </si>
  <si>
    <r>
      <rPr>
        <sz val="10"/>
        <color rgb="FF0000FF"/>
        <rFont val="Noto Sans CJK SC"/>
        <family val="2"/>
      </rPr>
      <t xml:space="preserve">整棟／</t>
    </r>
    <r>
      <rPr>
        <sz val="10"/>
        <color rgb="FF0000FF"/>
        <rFont val="Arial"/>
        <family val="0"/>
        <charset val="1"/>
      </rPr>
      <t xml:space="preserve">2F</t>
    </r>
  </si>
  <si>
    <r>
      <rPr>
        <sz val="10"/>
        <color rgb="FF000000"/>
        <rFont val="Noto Sans CJK SC"/>
        <family val="2"/>
      </rPr>
      <t xml:space="preserve">兩層樓、太大；可問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樓能否分租</t>
    </r>
  </si>
  <si>
    <r>
      <rPr>
        <sz val="10"/>
        <color rgb="FF0000FF"/>
        <rFont val="Noto Sans CJK SC"/>
        <family val="2"/>
      </rPr>
      <t xml:space="preserve">芎林工業區 </t>
    </r>
    <r>
      <rPr>
        <sz val="10"/>
        <color rgb="FF0000FF"/>
        <rFont val="Arial"/>
        <family val="0"/>
        <charset val="1"/>
      </rPr>
      <t xml:space="preserve">1,960–5,880 </t>
    </r>
    <r>
      <rPr>
        <sz val="10"/>
        <color rgb="FF0000FF"/>
        <rFont val="Noto Sans CJK SC"/>
        <family val="2"/>
      </rPr>
      <t xml:space="preserve">坪</t>
    </r>
  </si>
  <si>
    <t xml:space="preserve">五和街</t>
  </si>
  <si>
    <r>
      <rPr>
        <sz val="10"/>
        <color rgb="FF0000FF"/>
        <rFont val="Noto Sans CJK SC"/>
        <family val="2"/>
      </rPr>
      <t xml:space="preserve">整棟／</t>
    </r>
    <r>
      <rPr>
        <sz val="10"/>
        <color rgb="FF0000FF"/>
        <rFont val="Arial"/>
        <family val="0"/>
        <charset val="1"/>
      </rPr>
      <t xml:space="preserve">3F</t>
    </r>
  </si>
  <si>
    <t xml:space="preserve">太大</t>
  </si>
  <si>
    <t xml:space="preserve">芎林富林路三段倉庫</t>
  </si>
  <si>
    <t xml:space="preserve">富林路三段</t>
  </si>
  <si>
    <t xml:space="preserve">1F</t>
  </si>
  <si>
    <t xml:space="preserve">放不下一面場</t>
  </si>
  <si>
    <t xml:space="preserve">新竹租屋網</t>
  </si>
  <si>
    <t xml:space="preserve">竹東長春路廠辦</t>
  </si>
  <si>
    <t xml:space="preserve">長春路三段</t>
  </si>
  <si>
    <t xml:space="preserve">特種工業區</t>
  </si>
  <si>
    <t xml:space="preserve">1–3F</t>
  </si>
  <si>
    <t xml:space="preserve">三層樓，每層太小</t>
  </si>
  <si>
    <r>
      <rPr>
        <sz val="10"/>
        <color rgb="FF0000FF"/>
        <rFont val="Noto Sans CJK SC"/>
        <family val="2"/>
      </rPr>
      <t xml:space="preserve">樂屋網／</t>
    </r>
    <r>
      <rPr>
        <sz val="10"/>
        <color rgb="FF0000FF"/>
        <rFont val="Arial"/>
        <family val="0"/>
        <charset val="1"/>
      </rPr>
      <t xml:space="preserve">591</t>
    </r>
  </si>
  <si>
    <t xml:space="preserve">竹東柯湖路三層廠房</t>
  </si>
  <si>
    <t xml:space="preserve">柯湖路三段</t>
  </si>
  <si>
    <t xml:space="preserve">公道路旁倉庫</t>
  </si>
  <si>
    <t xml:space="preserve">公道路</t>
  </si>
  <si>
    <t xml:space="preserve">可利</t>
  </si>
  <si>
    <t xml:space="preserve">太小</t>
  </si>
  <si>
    <t xml:space="preserve">參考</t>
  </si>
  <si>
    <t xml:space="preserve">竹北 新寮街 倉庫</t>
  </si>
  <si>
    <t xml:space="preserve">竹北市</t>
  </si>
  <si>
    <t xml:space="preserve">新寮街</t>
  </si>
  <si>
    <r>
      <rPr>
        <sz val="10"/>
        <color rgb="FF000000"/>
        <rFont val="Noto Sans CJK SC"/>
        <family val="2"/>
      </rPr>
      <t xml:space="preserve">租金行情參考（竹北）。室內 </t>
    </r>
    <r>
      <rPr>
        <sz val="10"/>
        <color rgb="FF000000"/>
        <rFont val="Arial"/>
        <family val="0"/>
        <charset val="1"/>
      </rPr>
      <t xml:space="preserve">131 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</si>
  <si>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FF"/>
        <rFont val="Arial"/>
        <family val="0"/>
        <charset val="1"/>
      </rPr>
      <t xml:space="preserve">MixRent </t>
    </r>
    <r>
      <rPr>
        <sz val="10"/>
        <color rgb="FF0000FF"/>
        <rFont val="Noto Sans CJK SC"/>
        <family val="2"/>
      </rPr>
      <t xml:space="preserve">搜尋</t>
    </r>
  </si>
  <si>
    <t xml:space="preserve">竹北 蓮花路 倉庫</t>
  </si>
  <si>
    <t xml:space="preserve">蓮花路</t>
  </si>
  <si>
    <t xml:space="preserve">租金行情參考（竹北）</t>
  </si>
  <si>
    <t xml:space="preserve">竹北 中正西路 廠房</t>
  </si>
  <si>
    <t xml:space="preserve">中正西路</t>
  </si>
  <si>
    <t xml:space="preserve">租金行情參考（竹北）；排郎也在中正西路</t>
  </si>
  <si>
    <t xml:space="preserve">香山 海埔路 倉庫</t>
  </si>
  <si>
    <t xml:space="preserve">新竹市香山區</t>
  </si>
  <si>
    <t xml:space="preserve">海埔路</t>
  </si>
  <si>
    <t xml:space="preserve">租金行情參考（香山）；可大車出入</t>
  </si>
  <si>
    <r>
      <rPr>
        <sz val="10"/>
        <color rgb="FF0000FF"/>
        <rFont val="Noto Sans CJK SC"/>
        <family val="2"/>
      </rPr>
      <t xml:space="preserve">竹北 環北路 廠房（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樓）</t>
    </r>
  </si>
  <si>
    <t xml:space="preserve">環北路</t>
  </si>
  <si>
    <t xml:space="preserve">2F</t>
  </si>
  <si>
    <r>
      <rPr>
        <sz val="10"/>
        <color rgb="FF000000"/>
        <rFont val="Noto Sans CJK SC"/>
        <family val="2"/>
      </rPr>
      <t xml:space="preserve">挑高 </t>
    </r>
    <r>
      <rPr>
        <sz val="10"/>
        <color rgb="FF000000"/>
        <rFont val="Arial"/>
        <family val="0"/>
        <charset val="1"/>
      </rPr>
      <t xml:space="preserve">6 m</t>
    </r>
    <r>
      <rPr>
        <sz val="10"/>
        <color rgb="FF000000"/>
        <rFont val="Noto Sans CJK SC"/>
        <family val="2"/>
      </rPr>
      <t xml:space="preserve">、在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樓：不適合排球</t>
    </r>
  </si>
  <si>
    <t xml:space="preserve">算法說明</t>
  </si>
  <si>
    <r>
      <rPr>
        <sz val="10"/>
        <color rgb="FF5A6472"/>
        <rFont val="Noto Sans CJK SC"/>
        <family val="2"/>
      </rPr>
      <t xml:space="preserve">可放幾面：有填實測長寬，就用長寬直接排（兩個方向都試）；沒填就用「</t>
    </r>
    <r>
      <rPr>
        <sz val="10"/>
        <color rgb="FF5A6472"/>
        <rFont val="Arial"/>
        <family val="0"/>
        <charset val="1"/>
      </rPr>
      <t xml:space="preserve">(</t>
    </r>
    <r>
      <rPr>
        <sz val="10"/>
        <color rgb="FF5A6472"/>
        <rFont val="Noto Sans CJK SC"/>
        <family val="2"/>
      </rPr>
      <t xml:space="preserve">一樓可用坪數 − 公共區</t>
    </r>
    <r>
      <rPr>
        <sz val="10"/>
        <color rgb="FF5A6472"/>
        <rFont val="Arial"/>
        <family val="0"/>
        <charset val="1"/>
      </rPr>
      <t xml:space="preserve">) ÷ </t>
    </r>
    <r>
      <rPr>
        <sz val="10"/>
        <color rgb="FF5A6472"/>
        <rFont val="Noto Sans CJK SC"/>
        <family val="2"/>
      </rPr>
      <t xml:space="preserve">每面坪數」估。柱子擋到的話要自己扣。</t>
    </r>
  </si>
  <si>
    <r>
      <rPr>
        <sz val="10"/>
        <color rgb="FF5A6472"/>
        <rFont val="Noto Sans CJK SC"/>
        <family val="2"/>
      </rPr>
      <t xml:space="preserve">估算月租：一樓夠放 </t>
    </r>
    <r>
      <rPr>
        <sz val="10"/>
        <color rgb="FF5A6472"/>
        <rFont val="Arial"/>
        <family val="0"/>
        <charset val="1"/>
      </rPr>
      <t xml:space="preserve">2 </t>
    </r>
    <r>
      <rPr>
        <sz val="10"/>
        <color rgb="FF5A6472"/>
        <rFont val="Noto Sans CJK SC"/>
        <family val="2"/>
      </rPr>
      <t xml:space="preserve">面的物件，用刊登的每坪單價 </t>
    </r>
    <r>
      <rPr>
        <sz val="10"/>
        <color rgb="FF5A6472"/>
        <rFont val="Arial"/>
        <family val="0"/>
        <charset val="1"/>
      </rPr>
      <t xml:space="preserve">× 2 </t>
    </r>
    <r>
      <rPr>
        <sz val="10"/>
        <color rgb="FF5A6472"/>
        <rFont val="Noto Sans CJK SC"/>
        <family val="2"/>
      </rPr>
      <t xml:space="preserve">面龍蝦規格所需坪數（約 </t>
    </r>
    <r>
      <rPr>
        <sz val="10"/>
        <color rgb="FF5A6472"/>
        <rFont val="Arial"/>
        <family val="0"/>
        <charset val="1"/>
      </rPr>
      <t xml:space="preserve">310 </t>
    </r>
    <r>
      <rPr>
        <sz val="10"/>
        <color rgb="FF5A6472"/>
        <rFont val="Noto Sans CJK SC"/>
        <family val="2"/>
      </rPr>
      <t xml:space="preserve">坪）估，給要談分租的物件參考；實際分租單價通常會比較高。</t>
    </r>
  </si>
  <si>
    <t xml:space="preserve">建議方案只看大小和淨高；分區、消防、停車、噪音要另外確認（見「分區提醒」與企劃簡報的法規頁）。</t>
  </si>
  <si>
    <t xml:space="preserve">規格門檻（黃底可改）</t>
  </si>
  <si>
    <r>
      <rPr>
        <sz val="10"/>
        <color rgb="FF5A6472"/>
        <rFont val="Noto Sans CJK SC"/>
        <family val="2"/>
      </rPr>
      <t xml:space="preserve">坪＝</t>
    </r>
    <r>
      <rPr>
        <sz val="10"/>
        <color rgb="FF5A6472"/>
        <rFont val="Arial"/>
        <family val="0"/>
        <charset val="1"/>
      </rPr>
      <t xml:space="preserve">3.3058 </t>
    </r>
    <r>
      <rPr>
        <sz val="10"/>
        <color rgb="FF5A6472"/>
        <rFont val="Noto Sans CJK SC"/>
        <family val="2"/>
      </rPr>
      <t xml:space="preserve">㎡。這頁的數字是本企劃的假設，改了之後「廠房清單」會一起重算。</t>
    </r>
  </si>
  <si>
    <t xml:space="preserve">項目</t>
  </si>
  <si>
    <r>
      <rPr>
        <b val="true"/>
        <sz val="10"/>
        <color rgb="FFFFFFFF"/>
        <rFont val="Noto Sans CJK SC"/>
        <family val="2"/>
      </rPr>
      <t xml:space="preserve">長（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</si>
  <si>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寬（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</si>
  <si>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坪</t>
  </si>
  <si>
    <t xml:space="preserve">說明／依據</t>
  </si>
  <si>
    <t xml:space="preserve">每面場：龍蝦規格（舒適）</t>
  </si>
  <si>
    <r>
      <rPr>
        <sz val="10"/>
        <color rgb="FF000000"/>
        <rFont val="Noto Sans CJK SC"/>
        <family val="2"/>
      </rPr>
      <t xml:space="preserve">龍蝦排球館官網寫「打球區域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米長、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米寬」；兩面場的館寫這個尺寸，判斷是每一面的打球區。打起來很舒服。</t>
    </r>
  </si>
  <si>
    <t xml:space="preserve">每面場：精簡規格</t>
  </si>
  <si>
    <r>
      <rPr>
        <sz val="10"/>
        <color rgb="FF000000"/>
        <rFont val="Noto Sans CJK SC"/>
        <family val="2"/>
      </rPr>
      <t xml:space="preserve">球場 </t>
    </r>
    <r>
      <rPr>
        <sz val="10"/>
        <color rgb="FF000000"/>
        <rFont val="Arial"/>
        <family val="0"/>
        <charset val="1"/>
      </rPr>
      <t xml:space="preserve">18×9 m</t>
    </r>
    <r>
      <rPr>
        <sz val="10"/>
        <color rgb="FF000000"/>
        <rFont val="Noto Sans CJK SC"/>
        <family val="2"/>
      </rPr>
      <t xml:space="preserve">＋四周 </t>
    </r>
    <r>
      <rPr>
        <sz val="10"/>
        <color rgb="FF000000"/>
        <rFont val="Arial"/>
        <family val="0"/>
        <charset val="1"/>
      </rPr>
      <t xml:space="preserve">3 m </t>
    </r>
    <r>
      <rPr>
        <sz val="10"/>
        <color rgb="FF000000"/>
        <rFont val="Noto Sans CJK SC"/>
        <family val="2"/>
      </rPr>
      <t xml:space="preserve">緩衝，</t>
    </r>
    <r>
      <rPr>
        <sz val="10"/>
        <color rgb="FF000000"/>
        <rFont val="Arial"/>
        <family val="0"/>
        <charset val="1"/>
      </rPr>
      <t xml:space="preserve">FIVB </t>
    </r>
    <r>
      <rPr>
        <sz val="10"/>
        <color rgb="FF000000"/>
        <rFont val="Noto Sans CJK SC"/>
        <family val="2"/>
      </rPr>
      <t xml:space="preserve">對一般比賽的最低緩衝。新莊 </t>
    </r>
    <r>
      <rPr>
        <sz val="10"/>
        <color rgb="FF000000"/>
        <rFont val="Arial"/>
        <family val="0"/>
        <charset val="1"/>
      </rPr>
      <t xml:space="preserve">259 </t>
    </r>
    <r>
      <rPr>
        <sz val="10"/>
        <color rgb="FF000000"/>
        <rFont val="Noto Sans CJK SC"/>
        <family val="2"/>
      </rPr>
      <t xml:space="preserve">排球館是 </t>
    </r>
    <r>
      <rPr>
        <sz val="10"/>
        <color rgb="FF000000"/>
        <rFont val="Arial"/>
        <family val="0"/>
        <charset val="1"/>
      </rPr>
      <t xml:space="preserve">24×17 m</t>
    </r>
    <r>
      <rPr>
        <sz val="10"/>
        <color rgb="FF000000"/>
        <rFont val="Noto Sans CJK SC"/>
        <family val="2"/>
      </rPr>
      <t xml:space="preserve">。</t>
    </r>
  </si>
  <si>
    <t xml:space="preserve">公共區（休息區、廁所、櫃台、走道）</t>
  </si>
  <si>
    <r>
      <rPr>
        <sz val="10"/>
        <color rgb="FF000000"/>
        <rFont val="Noto Sans CJK SC"/>
        <family val="2"/>
      </rPr>
      <t xml:space="preserve">龍蝦的休息區深約 </t>
    </r>
    <r>
      <rPr>
        <sz val="10"/>
        <color rgb="FF000000"/>
        <rFont val="Arial"/>
        <family val="0"/>
        <charset val="1"/>
      </rPr>
      <t xml:space="preserve">5 m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坪）；再加廁所、櫃台抓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坪。</t>
    </r>
  </si>
  <si>
    <r>
      <rPr>
        <b val="true"/>
        <sz val="10"/>
        <color rgb="FF000000"/>
        <rFont val="Noto Sans CJK SC"/>
        <family val="2"/>
      </rPr>
      <t xml:space="preserve">淨高：理想（</t>
    </r>
    <r>
      <rPr>
        <b val="true"/>
        <sz val="10"/>
        <color rgb="FF000000"/>
        <rFont val="Arial"/>
        <family val="0"/>
        <charset val="1"/>
      </rPr>
      <t xml:space="preserve">m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</si>
  <si>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高球、跳發不會碰頂；羽球也夠用。國際正式比賽要 </t>
    </r>
    <r>
      <rPr>
        <sz val="10"/>
        <color rgb="FF000000"/>
        <rFont val="Arial"/>
        <family val="0"/>
        <charset val="1"/>
      </rPr>
      <t xml:space="preserve">12.5 m</t>
    </r>
    <r>
      <rPr>
        <sz val="10"/>
        <color rgb="FF000000"/>
        <rFont val="Noto Sans CJK SC"/>
        <family val="2"/>
      </rPr>
      <t xml:space="preserve">，休閒館不需要。</t>
    </r>
  </si>
  <si>
    <r>
      <rPr>
        <b val="true"/>
        <sz val="10"/>
        <color rgb="FF000000"/>
        <rFont val="Noto Sans CJK SC"/>
        <family val="2"/>
      </rPr>
      <t xml:space="preserve">淨高：最低（</t>
    </r>
    <r>
      <rPr>
        <b val="true"/>
        <sz val="10"/>
        <color rgb="FF000000"/>
        <rFont val="Arial"/>
        <family val="0"/>
        <charset val="1"/>
      </rPr>
      <t xml:space="preserve">m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</si>
  <si>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低於這個高度高球會碰頂。注意是「樑下、燈下」的淨高，不是屋頂最高點。</t>
  </si>
  <si>
    <t xml:space="preserve">整棟太大：超過幾坪要談分租</t>
  </si>
  <si>
    <t xml:space="preserve">超過就要問能不能只租一部分。</t>
  </si>
  <si>
    <t xml:space="preserve">需要的總坪數</t>
  </si>
  <si>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Noto Sans CJK SC"/>
        <family val="2"/>
      </rPr>
      <t xml:space="preserve">面（精簡）</t>
    </r>
  </si>
  <si>
    <r>
      <rPr>
        <sz val="10"/>
        <color rgb="FF000000"/>
        <rFont val="Noto Sans CJK SC"/>
        <family val="2"/>
      </rPr>
      <t xml:space="preserve">＝每面坪數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面數 ＋ 公共區。實際還要看形狀和柱子，長寬量到後以「廠房清單」的長寬算法為準。</t>
    </r>
  </si>
  <si>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Noto Sans CJK SC"/>
        <family val="2"/>
      </rPr>
      <t xml:space="preserve">面（龍蝦規格）</t>
    </r>
  </si>
  <si>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Noto Sans CJK SC"/>
        <family val="2"/>
      </rPr>
      <t xml:space="preserve">面（精簡）</t>
    </r>
  </si>
  <si>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Noto Sans CJK SC"/>
        <family val="2"/>
      </rPr>
      <t xml:space="preserve">面（龍蝦規格）</t>
    </r>
  </si>
  <si>
    <t xml:space="preserve">現有球館的面數與大小（踩點時量好填上）</t>
  </si>
  <si>
    <r>
      <rPr>
        <sz val="10"/>
        <color rgb="FF5A6472"/>
        <rFont val="Noto Sans CJK SC"/>
        <family val="2"/>
      </rPr>
      <t xml:space="preserve">只有龍蝦和新莊 </t>
    </r>
    <r>
      <rPr>
        <sz val="10"/>
        <color rgb="FF5A6472"/>
        <rFont val="Arial"/>
        <family val="0"/>
        <charset val="1"/>
      </rPr>
      <t xml:space="preserve">259 </t>
    </r>
    <r>
      <rPr>
        <sz val="10"/>
        <color rgb="FF5A6472"/>
        <rFont val="Noto Sans CJK SC"/>
        <family val="2"/>
      </rPr>
      <t xml:space="preserve">有公開尺寸；其他館去打球時用雷射測距儀量打球區長寬、淨高，填黃底格。</t>
    </r>
  </si>
  <si>
    <t xml:space="preserve">球館</t>
  </si>
  <si>
    <t xml:space="preserve">地點</t>
  </si>
  <si>
    <t xml:space="preserve">面數</t>
  </si>
  <si>
    <r>
      <rPr>
        <b val="true"/>
        <sz val="10"/>
        <color rgb="FFFFFFFF"/>
        <rFont val="Noto Sans CJK SC"/>
        <family val="2"/>
      </rPr>
      <t xml:space="preserve">每面打球區長（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</si>
  <si>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每面打球區寬（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</si>
  <si>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每面坪數</t>
  </si>
  <si>
    <t xml:space="preserve">打球區合計（坪）</t>
  </si>
  <si>
    <r>
      <rPr>
        <b val="true"/>
        <sz val="10"/>
        <color rgb="FFFFFFFF"/>
        <rFont val="Noto Sans CJK SC"/>
        <family val="2"/>
      </rPr>
      <t xml:space="preserve">淨高（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</si>
  <si>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000000"/>
        <rFont val="Noto Sans CJK SC"/>
        <family val="2"/>
      </rPr>
      <t xml:space="preserve">龍蝦排球館 </t>
    </r>
    <r>
      <rPr>
        <b val="true"/>
        <sz val="10"/>
        <color rgb="FF000000"/>
        <rFont val="Arial"/>
        <family val="0"/>
        <charset val="1"/>
      </rPr>
      <t xml:space="preserve">LongShot</t>
    </r>
  </si>
  <si>
    <t xml:space="preserve">寶山鄉大崎一路</t>
  </si>
  <si>
    <t xml:space="preserve">龍蝦官網</t>
  </si>
  <si>
    <r>
      <rPr>
        <sz val="10"/>
        <color rgb="FF000000"/>
        <rFont val="Noto Sans CJK SC"/>
        <family val="2"/>
      </rPr>
      <t xml:space="preserve">官網寫「打球區域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米長、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米寬」，判斷是每一面；另有深約 </t>
    </r>
    <r>
      <rPr>
        <sz val="10"/>
        <color rgb="FF000000"/>
        <rFont val="Arial"/>
        <family val="0"/>
        <charset val="1"/>
      </rPr>
      <t xml:space="preserve">5 m </t>
    </r>
    <r>
      <rPr>
        <sz val="10"/>
        <color rgb="FF000000"/>
        <rFont val="Noto Sans CJK SC"/>
        <family val="2"/>
      </rPr>
      <t xml:space="preserve">休息區。打起來很舒服，是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面場的參考。</t>
    </r>
  </si>
  <si>
    <r>
      <rPr>
        <b val="true"/>
        <sz val="10"/>
        <color rgb="FF000000"/>
        <rFont val="Noto Sans CJK SC"/>
        <family val="2"/>
      </rPr>
      <t xml:space="preserve">可利</t>
    </r>
    <r>
      <rPr>
        <b val="true"/>
        <sz val="10"/>
        <color rgb="FF000000"/>
        <rFont val="Arial"/>
        <family val="0"/>
        <charset val="1"/>
      </rPr>
      <t xml:space="preserve">'s </t>
    </r>
    <r>
      <rPr>
        <b val="true"/>
        <sz val="10"/>
        <color rgb="FF000000"/>
        <rFont val="Noto Sans CJK SC"/>
        <family val="2"/>
      </rPr>
      <t xml:space="preserve">排球小棧（</t>
    </r>
    <r>
      <rPr>
        <b val="true"/>
        <sz val="10"/>
        <color rgb="FF000000"/>
        <rFont val="Arial"/>
        <family val="0"/>
        <charset val="1"/>
      </rPr>
      <t xml:space="preserve">1–3 </t>
    </r>
    <r>
      <rPr>
        <b val="true"/>
        <sz val="10"/>
        <color rgb="FF000000"/>
        <rFont val="Noto Sans CJK SC"/>
        <family val="2"/>
      </rPr>
      <t xml:space="preserve">館）</t>
    </r>
  </si>
  <si>
    <r>
      <rPr>
        <sz val="10"/>
        <color rgb="FF0000FF"/>
        <rFont val="Noto Sans CJK SC"/>
        <family val="2"/>
      </rPr>
      <t xml:space="preserve">寶山鄉大崎一路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巷</t>
    </r>
  </si>
  <si>
    <r>
      <rPr>
        <sz val="10"/>
        <color rgb="FF0000FF"/>
        <rFont val="Arial"/>
        <family val="0"/>
        <charset val="1"/>
      </rPr>
      <t xml:space="preserve">Threads </t>
    </r>
    <r>
      <rPr>
        <sz val="10"/>
        <color rgb="FF0000FF"/>
        <rFont val="Noto Sans CJK SC"/>
        <family val="2"/>
      </rPr>
      <t xml:space="preserve">球友統計（面數）</t>
    </r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</si>
  <si>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館共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面；三館也開匹克球。</t>
    </r>
  </si>
  <si>
    <r>
      <rPr>
        <b val="true"/>
        <sz val="10"/>
        <color rgb="FF000000"/>
        <rFont val="Arial"/>
        <family val="0"/>
        <charset val="1"/>
      </rPr>
      <t xml:space="preserve">Volley Chill × </t>
    </r>
    <r>
      <rPr>
        <b val="true"/>
        <sz val="10"/>
        <color rgb="FF000000"/>
        <rFont val="Noto Sans CJK SC"/>
        <family val="2"/>
      </rPr>
      <t xml:space="preserve">排丘</t>
    </r>
  </si>
  <si>
    <r>
      <rPr>
        <b val="true"/>
        <sz val="10"/>
        <color rgb="FF000000"/>
        <rFont val="Noto Sans CJK SC"/>
        <family val="2"/>
      </rPr>
      <t xml:space="preserve">就醬瘋 </t>
    </r>
    <r>
      <rPr>
        <b val="true"/>
        <sz val="10"/>
        <color rgb="FF000000"/>
        <rFont val="Arial"/>
        <family val="0"/>
        <charset val="1"/>
      </rPr>
      <t xml:space="preserve">JCV</t>
    </r>
  </si>
  <si>
    <t xml:space="preserve">寶山鄉（園區二路）</t>
  </si>
  <si>
    <t xml:space="preserve">挑高、明亮</t>
  </si>
  <si>
    <t xml:space="preserve">啪！排郎</t>
  </si>
  <si>
    <t xml:space="preserve">竹北市中正西路</t>
  </si>
  <si>
    <r>
      <rPr>
        <b val="true"/>
        <sz val="10"/>
        <color rgb="FF000000"/>
        <rFont val="Noto Sans CJK SC"/>
        <family val="2"/>
      </rPr>
      <t xml:space="preserve">新莊 </t>
    </r>
    <r>
      <rPr>
        <b val="true"/>
        <sz val="10"/>
        <color rgb="FF000000"/>
        <rFont val="Arial"/>
        <family val="0"/>
        <charset val="1"/>
      </rPr>
      <t xml:space="preserve">259 </t>
    </r>
    <r>
      <rPr>
        <b val="true"/>
        <sz val="10"/>
        <color rgb="FF000000"/>
        <rFont val="Noto Sans CJK SC"/>
        <family val="2"/>
      </rPr>
      <t xml:space="preserve">排球館（外縣市參考）</t>
    </r>
  </si>
  <si>
    <t xml:space="preserve">新北市新莊</t>
  </si>
  <si>
    <r>
      <rPr>
        <sz val="10"/>
        <color rgb="FF0000FF"/>
        <rFont val="Noto Sans CJK SC"/>
        <family val="2"/>
      </rPr>
      <t xml:space="preserve">愛來運動 </t>
    </r>
    <r>
      <rPr>
        <sz val="10"/>
        <color rgb="FF0000FF"/>
        <rFont val="Arial"/>
        <family val="0"/>
        <charset val="1"/>
      </rPr>
      <t xml:space="preserve">259 </t>
    </r>
    <r>
      <rPr>
        <sz val="10"/>
        <color rgb="FF0000FF"/>
        <rFont val="Noto Sans CJK SC"/>
        <family val="2"/>
      </rPr>
      <t xml:space="preserve">排球館頁面</t>
    </r>
  </si>
  <si>
    <r>
      <rPr>
        <sz val="10"/>
        <color rgb="FF000000"/>
        <rFont val="Noto Sans CJK SC"/>
        <family val="2"/>
      </rPr>
      <t xml:space="preserve">兩側緩衝縮成 </t>
    </r>
    <r>
      <rPr>
        <sz val="10"/>
        <color rgb="FF000000"/>
        <rFont val="Arial"/>
        <family val="0"/>
        <charset val="1"/>
      </rPr>
      <t xml:space="preserve">2.7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5.3 m</t>
    </r>
    <r>
      <rPr>
        <sz val="10"/>
        <color rgb="FF000000"/>
        <rFont val="Noto Sans CJK SC"/>
        <family val="2"/>
      </rPr>
      <t xml:space="preserve">，私人館常見的妥協。</t>
    </r>
  </si>
  <si>
    <r>
      <rPr>
        <b val="true"/>
        <sz val="10"/>
        <color rgb="FF000000"/>
        <rFont val="Noto Sans CJK SC"/>
        <family val="2"/>
      </rPr>
      <t xml:space="preserve">國際正式比賽（</t>
    </r>
    <r>
      <rPr>
        <b val="true"/>
        <sz val="10"/>
        <color rgb="FF000000"/>
        <rFont val="Arial"/>
        <family val="0"/>
        <charset val="1"/>
      </rPr>
      <t xml:space="preserve">FIVB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</si>
  <si>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—</t>
  </si>
  <si>
    <r>
      <rPr>
        <sz val="10"/>
        <color rgb="FF0000FF"/>
        <rFont val="Arial"/>
        <family val="0"/>
        <charset val="1"/>
      </rPr>
      <t xml:space="preserve">FIVB </t>
    </r>
    <r>
      <rPr>
        <sz val="10"/>
        <color rgb="FF0000FF"/>
        <rFont val="Noto Sans CJK SC"/>
        <family val="2"/>
      </rPr>
      <t xml:space="preserve">規則</t>
    </r>
  </si>
  <si>
    <r>
      <rPr>
        <sz val="10"/>
        <color rgb="FF000000"/>
        <rFont val="Noto Sans CJK SC"/>
        <family val="2"/>
      </rPr>
      <t xml:space="preserve">緩衝區兩側 </t>
    </r>
    <r>
      <rPr>
        <sz val="10"/>
        <color rgb="FF000000"/>
        <rFont val="Arial"/>
        <family val="0"/>
        <charset val="1"/>
      </rPr>
      <t xml:space="preserve">5 m</t>
    </r>
    <r>
      <rPr>
        <sz val="10"/>
        <color rgb="FF000000"/>
        <rFont val="Noto Sans CJK SC"/>
        <family val="2"/>
      </rPr>
      <t xml:space="preserve">、底線後 </t>
    </r>
    <r>
      <rPr>
        <sz val="10"/>
        <color rgb="FF000000"/>
        <rFont val="Arial"/>
        <family val="0"/>
        <charset val="1"/>
      </rPr>
      <t xml:space="preserve">6.5 m</t>
    </r>
    <r>
      <rPr>
        <sz val="10"/>
        <color rgb="FF000000"/>
        <rFont val="Noto Sans CJK SC"/>
        <family val="2"/>
      </rPr>
      <t xml:space="preserve">；休閒館不需要做到這樣。</t>
    </r>
  </si>
  <si>
    <t xml:space="preserve">私人球館合計面數</t>
  </si>
  <si>
    <r>
      <rPr>
        <b val="true"/>
        <sz val="14"/>
        <color rgb="FF000000"/>
        <rFont val="Noto Sans CJK SC"/>
        <family val="2"/>
      </rPr>
      <t xml:space="preserve">一面排球場的空間（</t>
    </r>
    <r>
      <rPr>
        <b val="true"/>
        <sz val="14"/>
        <color rgb="FF000000"/>
        <rFont val="Arial"/>
        <family val="0"/>
        <charset val="1"/>
      </rPr>
      <t xml:space="preserve">25×18 m</t>
    </r>
    <r>
      <rPr>
        <b val="true"/>
        <sz val="14"/>
        <color rgb="FF000000"/>
        <rFont val="Noto Sans CJK SC"/>
        <family val="2"/>
      </rPr>
      <t xml:space="preserve">）可以怎麼用</t>
    </r>
  </si>
  <si>
    <r>
      <rPr>
        <sz val="10"/>
        <color rgb="FF5A6472"/>
        <rFont val="Noto Sans CJK SC"/>
        <family val="2"/>
      </rPr>
      <t xml:space="preserve">只開 </t>
    </r>
    <r>
      <rPr>
        <sz val="10"/>
        <color rgb="FF5A6472"/>
        <rFont val="Arial"/>
        <family val="0"/>
        <charset val="1"/>
      </rPr>
      <t xml:space="preserve">1 </t>
    </r>
    <r>
      <rPr>
        <sz val="10"/>
        <color rgb="FF5A6472"/>
        <rFont val="Noto Sans CJK SC"/>
        <family val="2"/>
      </rPr>
      <t xml:space="preserve">面場時，同一塊地板畫多種線，平日白天、離峰時段給其他運動用。價格是黃底假設，可改。</t>
    </r>
  </si>
  <si>
    <t xml:space="preserve">運動</t>
  </si>
  <si>
    <r>
      <rPr>
        <b val="true"/>
        <sz val="10"/>
        <color rgb="FFFFFFFF"/>
        <rFont val="Noto Sans CJK SC"/>
        <family val="2"/>
      </rPr>
      <t xml:space="preserve">球場尺寸（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</si>
  <si>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含緩衝每面約（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</si>
  <si>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25×18 m </t>
    </r>
    <r>
      <rPr>
        <b val="true"/>
        <sz val="10"/>
        <color rgb="FFFFFFFF"/>
        <rFont val="Noto Sans CJK SC"/>
        <family val="2"/>
      </rPr>
      <t xml:space="preserve">可放幾面</t>
    </r>
  </si>
  <si>
    <r>
      <rPr>
        <b val="true"/>
        <sz val="10"/>
        <color rgb="FFFFFFFF"/>
        <rFont val="Noto Sans CJK SC"/>
        <family val="2"/>
      </rPr>
      <t xml:space="preserve">網高（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</si>
  <si>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淨高需求</t>
  </si>
  <si>
    <t xml:space="preserve">每面每小時場租（元）</t>
  </si>
  <si>
    <t xml:space="preserve">每小時可收（元）</t>
  </si>
  <si>
    <t xml:space="preserve">價格依據</t>
  </si>
  <si>
    <t xml:space="preserve">注意</t>
  </si>
  <si>
    <t xml:space="preserve">排球</t>
  </si>
  <si>
    <t xml:space="preserve">18 × 9</t>
  </si>
  <si>
    <t xml:space="preserve">25 × 18</t>
  </si>
  <si>
    <r>
      <rPr>
        <sz val="10"/>
        <color rgb="FF0000FF"/>
        <rFont val="Noto Sans CJK SC"/>
        <family val="2"/>
      </rPr>
      <t xml:space="preserve">男 </t>
    </r>
    <r>
      <rPr>
        <sz val="10"/>
        <color rgb="FF0000FF"/>
        <rFont val="Arial"/>
        <family val="0"/>
        <charset val="1"/>
      </rPr>
      <t xml:space="preserve">2.43</t>
    </r>
    <r>
      <rPr>
        <sz val="10"/>
        <color rgb="FF0000FF"/>
        <rFont val="Noto Sans CJK SC"/>
        <family val="2"/>
      </rPr>
      <t xml:space="preserve">／女 </t>
    </r>
    <r>
      <rPr>
        <sz val="10"/>
        <color rgb="FF0000FF"/>
        <rFont val="Arial"/>
        <family val="0"/>
        <charset val="1"/>
      </rPr>
      <t xml:space="preserve">2.24</t>
    </r>
  </si>
  <si>
    <r>
      <rPr>
        <sz val="10"/>
        <color rgb="FF0000FF"/>
        <rFont val="Arial"/>
        <family val="0"/>
        <charset val="1"/>
      </rPr>
      <t xml:space="preserve">7 m </t>
    </r>
    <r>
      <rPr>
        <sz val="10"/>
        <color rgb="FF0000FF"/>
        <rFont val="Noto Sans CJK SC"/>
        <family val="2"/>
      </rPr>
      <t xml:space="preserve">以上，</t>
    </r>
    <r>
      <rPr>
        <sz val="10"/>
        <color rgb="FF0000FF"/>
        <rFont val="Arial"/>
        <family val="0"/>
        <charset val="1"/>
      </rPr>
      <t xml:space="preserve">9 m </t>
    </r>
    <r>
      <rPr>
        <sz val="10"/>
        <color rgb="FF0000FF"/>
        <rFont val="Noto Sans CJK SC"/>
        <family val="2"/>
      </rPr>
      <t xml:space="preserve">理想</t>
    </r>
  </si>
  <si>
    <r>
      <rPr>
        <sz val="10"/>
        <color rgb="FF0000FF"/>
        <rFont val="Noto Sans CJK SC"/>
        <family val="2"/>
      </rPr>
      <t xml:space="preserve">企劃假設：尖峰包場 </t>
    </r>
    <r>
      <rPr>
        <sz val="10"/>
        <color rgb="FF0000FF"/>
        <rFont val="Arial"/>
        <family val="0"/>
        <charset val="1"/>
      </rPr>
      <t xml:space="preserve">4,200 </t>
    </r>
    <r>
      <rPr>
        <sz val="10"/>
        <color rgb="FF0000FF"/>
        <rFont val="Noto Sans CJK SC"/>
        <family val="2"/>
      </rPr>
      <t xml:space="preserve">元／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小時（參考新莊 </t>
    </r>
    <r>
      <rPr>
        <sz val="10"/>
        <color rgb="FF0000FF"/>
        <rFont val="Arial"/>
        <family val="0"/>
        <charset val="1"/>
      </rPr>
      <t xml:space="preserve">259</t>
    </r>
    <r>
      <rPr>
        <sz val="10"/>
        <color rgb="FF0000FF"/>
        <rFont val="Noto Sans CJK SC"/>
        <family val="2"/>
      </rPr>
      <t xml:space="preserve">）</t>
    </r>
  </si>
  <si>
    <t xml:space="preserve">主力。包場、季租、臨打。</t>
  </si>
  <si>
    <t xml:space="preserve">羽球</t>
  </si>
  <si>
    <t xml:space="preserve">13.4 × 6.1</t>
  </si>
  <si>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17.4 × 8</t>
    </r>
  </si>
  <si>
    <t xml:space="preserve">1.55</t>
  </si>
  <si>
    <r>
      <rPr>
        <sz val="10"/>
        <color rgb="FF0000FF"/>
        <rFont val="Arial"/>
        <family val="0"/>
        <charset val="1"/>
      </rPr>
      <t xml:space="preserve">7 m </t>
    </r>
    <r>
      <rPr>
        <sz val="10"/>
        <color rgb="FF0000FF"/>
        <rFont val="Noto Sans CJK SC"/>
        <family val="2"/>
      </rPr>
      <t xml:space="preserve">可打，</t>
    </r>
    <r>
      <rPr>
        <sz val="10"/>
        <color rgb="FF0000FF"/>
        <rFont val="Arial"/>
        <family val="0"/>
        <charset val="1"/>
      </rPr>
      <t xml:space="preserve">9 m </t>
    </r>
    <r>
      <rPr>
        <sz val="10"/>
        <color rgb="FF0000FF"/>
        <rFont val="Noto Sans CJK SC"/>
        <family val="2"/>
      </rPr>
      <t xml:space="preserve">以上較好</t>
    </r>
  </si>
  <si>
    <r>
      <rPr>
        <sz val="10"/>
        <color rgb="FF0000FF"/>
        <rFont val="Noto Sans CJK SC"/>
        <family val="2"/>
      </rPr>
      <t xml:space="preserve">竹北沛傑羽球館：</t>
    </r>
    <r>
      <rPr>
        <sz val="10"/>
        <color rgb="FF0000FF"/>
        <rFont val="Arial"/>
        <family val="0"/>
        <charset val="1"/>
      </rPr>
      <t xml:space="preserve">18–22 </t>
    </r>
    <r>
      <rPr>
        <sz val="10"/>
        <color rgb="FF0000FF"/>
        <rFont val="Noto Sans CJK SC"/>
        <family val="2"/>
      </rPr>
      <t xml:space="preserve">點與假日 </t>
    </r>
    <r>
      <rPr>
        <sz val="10"/>
        <color rgb="FF0000FF"/>
        <rFont val="Arial"/>
        <family val="0"/>
        <charset val="1"/>
      </rPr>
      <t xml:space="preserve">550 </t>
    </r>
    <r>
      <rPr>
        <sz val="10"/>
        <color rgb="FF0000FF"/>
        <rFont val="Noto Sans CJK SC"/>
        <family val="2"/>
      </rPr>
      <t xml:space="preserve">元／小時、</t>
    </r>
    <r>
      <rPr>
        <sz val="10"/>
        <color rgb="FF0000FF"/>
        <rFont val="Arial"/>
        <family val="0"/>
        <charset val="1"/>
      </rPr>
      <t xml:space="preserve">09–18 </t>
    </r>
    <r>
      <rPr>
        <sz val="10"/>
        <color rgb="FF0000FF"/>
        <rFont val="Noto Sans CJK SC"/>
        <family val="2"/>
      </rPr>
      <t xml:space="preserve">點 </t>
    </r>
    <r>
      <rPr>
        <sz val="10"/>
        <color rgb="FF0000FF"/>
        <rFont val="Arial"/>
        <family val="0"/>
        <charset val="1"/>
      </rPr>
      <t xml:space="preserve">450 </t>
    </r>
    <r>
      <rPr>
        <sz val="10"/>
        <color rgb="FF0000FF"/>
        <rFont val="Noto Sans CJK SC"/>
        <family val="2"/>
      </rPr>
      <t xml:space="preserve">元</t>
    </r>
  </si>
  <si>
    <r>
      <rPr>
        <sz val="10"/>
        <color rgb="FF000000"/>
        <rFont val="Noto Sans CJK SC"/>
        <family val="2"/>
      </rPr>
      <t xml:space="preserve">打羽球時大型吊扇要關（球會飄）；燈不能刺眼。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面羽球並排要 </t>
    </r>
    <r>
      <rPr>
        <sz val="10"/>
        <color rgb="FF000000"/>
        <rFont val="Arial"/>
        <family val="0"/>
        <charset val="1"/>
      </rPr>
      <t xml:space="preserve">24.6 m </t>
    </r>
    <r>
      <rPr>
        <sz val="10"/>
        <color rgb="FF000000"/>
        <rFont val="Noto Sans CJK SC"/>
        <family val="2"/>
      </rPr>
      <t xml:space="preserve">寬，</t>
    </r>
    <r>
      <rPr>
        <sz val="10"/>
        <color rgb="FF000000"/>
        <rFont val="Arial"/>
        <family val="0"/>
        <charset val="1"/>
      </rPr>
      <t xml:space="preserve">25 m </t>
    </r>
    <r>
      <rPr>
        <sz val="10"/>
        <color rgb="FF000000"/>
        <rFont val="Noto Sans CJK SC"/>
        <family val="2"/>
      </rPr>
      <t xml:space="preserve">剛好。</t>
    </r>
  </si>
  <si>
    <t xml:space="preserve">匹克球</t>
  </si>
  <si>
    <t xml:space="preserve">13.41 × 6.1</t>
  </si>
  <si>
    <r>
      <rPr>
        <sz val="10"/>
        <color rgb="FF0000FF"/>
        <rFont val="Noto Sans CJK SC"/>
        <family val="2"/>
      </rPr>
      <t xml:space="preserve">最少 </t>
    </r>
    <r>
      <rPr>
        <sz val="10"/>
        <color rgb="FF0000FF"/>
        <rFont val="Arial"/>
        <family val="0"/>
        <charset val="1"/>
      </rPr>
      <t xml:space="preserve">9.1 × 18.3</t>
    </r>
  </si>
  <si>
    <r>
      <rPr>
        <sz val="10"/>
        <color rgb="FF0000FF"/>
        <rFont val="Arial"/>
        <family val="0"/>
        <charset val="1"/>
      </rPr>
      <t xml:space="preserve">0.91</t>
    </r>
    <r>
      <rPr>
        <sz val="10"/>
        <color rgb="FF0000FF"/>
        <rFont val="Noto Sans CJK SC"/>
        <family val="2"/>
      </rPr>
      <t xml:space="preserve">（中間 </t>
    </r>
    <r>
      <rPr>
        <sz val="10"/>
        <color rgb="FF0000FF"/>
        <rFont val="Arial"/>
        <family val="0"/>
        <charset val="1"/>
      </rPr>
      <t xml:space="preserve">0.86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</si>
  <si>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6 m </t>
    </r>
    <r>
      <rPr>
        <sz val="10"/>
        <color rgb="FF0000FF"/>
        <rFont val="Noto Sans CJK SC"/>
        <family val="2"/>
      </rPr>
      <t xml:space="preserve">以上即可</t>
    </r>
  </si>
  <si>
    <r>
      <rPr>
        <sz val="10"/>
        <color rgb="FF0000FF"/>
        <rFont val="Noto Sans CJK SC"/>
        <family val="2"/>
      </rPr>
      <t xml:space="preserve">新竹匹克球館租場價待查；竹北運動中心體驗場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元／人</t>
    </r>
  </si>
  <si>
    <r>
      <rPr>
        <sz val="10"/>
        <color rgb="FF000000"/>
        <rFont val="Noto Sans CJK SC"/>
        <family val="2"/>
      </rPr>
      <t xml:space="preserve">兩面並排要 </t>
    </r>
    <r>
      <rPr>
        <sz val="10"/>
        <color rgb="FF000000"/>
        <rFont val="Arial"/>
        <family val="0"/>
        <charset val="1"/>
      </rPr>
      <t xml:space="preserve">18.3 m</t>
    </r>
    <r>
      <rPr>
        <sz val="10"/>
        <color rgb="FF000000"/>
        <rFont val="Noto Sans CJK SC"/>
        <family val="2"/>
      </rPr>
      <t xml:space="preserve">，比 </t>
    </r>
    <r>
      <rPr>
        <sz val="10"/>
        <color rgb="FF000000"/>
        <rFont val="Arial"/>
        <family val="0"/>
        <charset val="1"/>
      </rPr>
      <t xml:space="preserve">18 m </t>
    </r>
    <r>
      <rPr>
        <sz val="10"/>
        <color rgb="FF000000"/>
        <rFont val="Noto Sans CJK SC"/>
        <family val="2"/>
      </rPr>
      <t xml:space="preserve">多一點，緩衝要稍微縮。打擊聲比較大，注意鄰居。</t>
    </r>
  </si>
  <si>
    <r>
      <rPr>
        <b val="true"/>
        <sz val="10"/>
        <color rgb="FF000000"/>
        <rFont val="Noto Sans CJK SC"/>
        <family val="2"/>
      </rPr>
      <t xml:space="preserve">籃球（</t>
    </r>
    <r>
      <rPr>
        <b val="true"/>
        <sz val="10"/>
        <color rgb="FF000000"/>
        <rFont val="Arial"/>
        <family val="0"/>
        <charset val="1"/>
      </rPr>
      <t xml:space="preserve">3 </t>
    </r>
    <r>
      <rPr>
        <b val="true"/>
        <sz val="10"/>
        <color rgb="FF000000"/>
        <rFont val="Noto Sans CJK SC"/>
        <family val="2"/>
      </rPr>
      <t xml:space="preserve">對 </t>
    </r>
    <r>
      <rPr>
        <b val="true"/>
        <sz val="10"/>
        <color rgb="FF000000"/>
        <rFont val="Arial"/>
        <family val="0"/>
        <charset val="1"/>
      </rPr>
      <t xml:space="preserve">3 </t>
    </r>
    <r>
      <rPr>
        <b val="true"/>
        <sz val="10"/>
        <color rgb="FF000000"/>
        <rFont val="Noto Sans CJK SC"/>
        <family val="2"/>
      </rPr>
      <t xml:space="preserve">半場）</t>
    </r>
  </si>
  <si>
    <t xml:space="preserve">15 × 11</t>
  </si>
  <si>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17 × 13</t>
    </r>
  </si>
  <si>
    <r>
      <rPr>
        <sz val="10"/>
        <color rgb="FF0000FF"/>
        <rFont val="Noto Sans CJK SC"/>
        <family val="2"/>
      </rPr>
      <t xml:space="preserve">籃框 </t>
    </r>
    <r>
      <rPr>
        <sz val="10"/>
        <color rgb="FF0000FF"/>
        <rFont val="Arial"/>
        <family val="0"/>
        <charset val="1"/>
      </rPr>
      <t xml:space="preserve">3.05</t>
    </r>
  </si>
  <si>
    <r>
      <rPr>
        <sz val="10"/>
        <color rgb="FF0000FF"/>
        <rFont val="Arial"/>
        <family val="0"/>
        <charset val="1"/>
      </rPr>
      <t xml:space="preserve">7 m </t>
    </r>
    <r>
      <rPr>
        <sz val="10"/>
        <color rgb="FF0000FF"/>
        <rFont val="Noto Sans CJK SC"/>
        <family val="2"/>
      </rPr>
      <t xml:space="preserve">以上</t>
    </r>
  </si>
  <si>
    <t xml:space="preserve">待查</t>
  </si>
  <si>
    <t xml:space="preserve">要買可移動籃架；籃球落地對地板衝擊大，地板要選夠耐的。</t>
  </si>
  <si>
    <t xml:space="preserve">怎麼看</t>
  </si>
  <si>
    <r>
      <rPr>
        <sz val="10"/>
        <color rgb="FF13233A"/>
        <rFont val="Noto Sans CJK SC"/>
        <family val="2"/>
      </rPr>
      <t xml:space="preserve">同一小時，</t>
    </r>
    <r>
      <rPr>
        <sz val="10"/>
        <color rgb="FF13233A"/>
        <rFont val="Arial"/>
        <family val="0"/>
        <charset val="1"/>
      </rPr>
      <t xml:space="preserve">3 </t>
    </r>
    <r>
      <rPr>
        <sz val="10"/>
        <color rgb="FF13233A"/>
        <rFont val="Noto Sans CJK SC"/>
        <family val="2"/>
      </rPr>
      <t xml:space="preserve">面羽球（</t>
    </r>
    <r>
      <rPr>
        <sz val="10"/>
        <color rgb="FF13233A"/>
        <rFont val="Arial"/>
        <family val="0"/>
        <charset val="1"/>
      </rPr>
      <t xml:space="preserve">3 × 550</t>
    </r>
    <r>
      <rPr>
        <sz val="10"/>
        <color rgb="FF13233A"/>
        <rFont val="Noto Sans CJK SC"/>
        <family val="2"/>
      </rPr>
      <t xml:space="preserve">＝</t>
    </r>
    <r>
      <rPr>
        <sz val="10"/>
        <color rgb="FF13233A"/>
        <rFont val="Arial"/>
        <family val="0"/>
        <charset val="1"/>
      </rPr>
      <t xml:space="preserve">1,650 </t>
    </r>
    <r>
      <rPr>
        <sz val="10"/>
        <color rgb="FF13233A"/>
        <rFont val="Noto Sans CJK SC"/>
        <family val="2"/>
      </rPr>
      <t xml:space="preserve">元）和 </t>
    </r>
    <r>
      <rPr>
        <sz val="10"/>
        <color rgb="FF13233A"/>
        <rFont val="Arial"/>
        <family val="0"/>
        <charset val="1"/>
      </rPr>
      <t xml:space="preserve">1 </t>
    </r>
    <r>
      <rPr>
        <sz val="10"/>
        <color rgb="FF13233A"/>
        <rFont val="Noto Sans CJK SC"/>
        <family val="2"/>
      </rPr>
      <t xml:space="preserve">面排球包場（約 </t>
    </r>
    <r>
      <rPr>
        <sz val="10"/>
        <color rgb="FF13233A"/>
        <rFont val="Arial"/>
        <family val="0"/>
        <charset val="1"/>
      </rPr>
      <t xml:space="preserve">1,400 </t>
    </r>
    <r>
      <rPr>
        <sz val="10"/>
        <color rgb="FF13233A"/>
        <rFont val="Noto Sans CJK SC"/>
        <family val="2"/>
      </rPr>
      <t xml:space="preserve">元）收入差不多；平日白天排球很難租出去，羽球、匹克球比較容易填滿。</t>
    </r>
  </si>
  <si>
    <t xml:space="preserve">複合式的代價：地板線多會亂、要準備多種網柱和收納空間、預約系統要分運動；排球族群可能覺得「不專業」。</t>
  </si>
  <si>
    <r>
      <rPr>
        <sz val="10"/>
        <color rgb="FF13233A"/>
        <rFont val="Noto Sans CJK SC"/>
        <family val="2"/>
      </rPr>
      <t xml:space="preserve">寶山已經有閃電匹克館、</t>
    </r>
    <r>
      <rPr>
        <sz val="10"/>
        <color rgb="FF13233A"/>
        <rFont val="Arial"/>
        <family val="0"/>
        <charset val="1"/>
      </rPr>
      <t xml:space="preserve">P9 </t>
    </r>
    <r>
      <rPr>
        <sz val="10"/>
        <color rgb="FF13233A"/>
        <rFont val="Noto Sans CJK SC"/>
        <family val="2"/>
      </rPr>
      <t xml:space="preserve">複合式運動競技館、</t>
    </r>
    <r>
      <rPr>
        <sz val="10"/>
        <color rgb="FF13233A"/>
        <rFont val="Arial"/>
        <family val="0"/>
        <charset val="1"/>
      </rPr>
      <t xml:space="preserve">Pickle Pickleball Club</t>
    </r>
    <r>
      <rPr>
        <sz val="10"/>
        <color rgb="FF13233A"/>
        <rFont val="Noto Sans CJK SC"/>
        <family val="2"/>
      </rPr>
      <t xml:space="preserve">，可利三館也開匹克球，動智 </t>
    </r>
    <r>
      <rPr>
        <sz val="10"/>
        <color rgb="FF13233A"/>
        <rFont val="Arial"/>
        <family val="0"/>
        <charset val="1"/>
      </rPr>
      <t xml:space="preserve">SportXAI </t>
    </r>
    <r>
      <rPr>
        <sz val="10"/>
        <color rgb="FF13233A"/>
        <rFont val="Noto Sans CJK SC"/>
        <family val="2"/>
      </rPr>
      <t xml:space="preserve">複合運動館也宣布要開；開在寶山的話複合式也要面對競爭。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</si>
</sst>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Noto Sans CJK SC"/>
      <family val="2"/>
    </font>
    <font>
      <sz val="10"/>
      <color rgb="FF5A6472"/>
      <name val="Noto Sans CJK SC"/>
      <family val="2"/>
    </font>
    <font>
      <sz val="10"/>
      <color rgb="FF5A6472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4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u val="single"/>
      <sz val="10"/>
      <color rgb="FF0563C1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 val="true"/>
      <sz val="14"/>
      <color rgb="FF000000"/>
      <name val="Arial"/>
      <family val="0"/>
      <charset val="1"/>
    </font>
    <font>
      <sz val="10"/>
      <color rgb="FF13233A"/>
      <name val="Noto Sans CJK SC"/>
      <family val="2"/>
    </font>
    <font>
      <sz val="10"/>
      <color rgb="FF13233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3233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FE9DD"/>
        <bgColor rgb="FFE6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3233A"/>
          <bgColor rgb="FF000000"/>
        </patternFill>
      </fill>
    </dxf>
    <dxf>
      <fill>
        <patternFill patternType="solid">
          <fgColor rgb="FFEFE9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F2E3"/>
          <bgColor rgb="FF000000"/>
        </patternFill>
      </fill>
    </dxf>
    <dxf>
      <fill>
        <patternFill patternType="solid">
          <fgColor rgb="FFE6E6E6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5A6472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D9F2E3"/>
        </patternFill>
      </fill>
    </dxf>
    <dxf>
      <fill>
        <patternFill>
          <bgColor rgb="FFFCE5CD"/>
        </patternFill>
      </fill>
    </dxf>
    <dxf>
      <fill>
        <patternFill>
          <bgColor rgb="FFE6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808080"/>
      <rgbColor rgb="FF9999FF"/>
      <rgbColor rgb="FF993366"/>
      <rgbColor rgb="FFEFE9DD"/>
      <rgbColor rgb="FFE6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3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business.591.com.tw/rent/21621521" TargetMode="External"/><Relationship Id="rId3" Type="http://schemas.openxmlformats.org/officeDocument/2006/relationships/hyperlink" Target="https://business.591.com.tw/rent/20412734" TargetMode="External"/><Relationship Id="rId4" Type="http://schemas.openxmlformats.org/officeDocument/2006/relationships/hyperlink" Target="https://business.591.com.tw/rent/22060261" TargetMode="External"/><Relationship Id="rId5" Type="http://schemas.openxmlformats.org/officeDocument/2006/relationships/hyperlink" Target="https://rent.rakuya.com.tw/item/0b8c92331258528" TargetMode="External"/><Relationship Id="rId6" Type="http://schemas.openxmlformats.org/officeDocument/2006/relationships/hyperlink" Target="https://business.591.com.tw/rent/21710501" TargetMode="External"/><Relationship Id="rId7" Type="http://schemas.openxmlformats.org/officeDocument/2006/relationships/hyperlink" Target="https://business.591.com.tw/rent/22035915" TargetMode="External"/><Relationship Id="rId8" Type="http://schemas.openxmlformats.org/officeDocument/2006/relationships/hyperlink" Target="https://rent.rakuya.com.tw/item/0ff163323287491" TargetMode="External"/><Relationship Id="rId9" Type="http://schemas.openxmlformats.org/officeDocument/2006/relationships/hyperlink" Target="https://business.591.com.tw/rent/22108534" TargetMode="External"/><Relationship Id="rId10" Type="http://schemas.openxmlformats.org/officeDocument/2006/relationships/hyperlink" Target="https://business.591.com.tw/rent/22125405" TargetMode="External"/><Relationship Id="rId11" Type="http://schemas.openxmlformats.org/officeDocument/2006/relationships/hyperlink" Target="https://business.591.com.tw/rent/22126315" TargetMode="External"/><Relationship Id="rId12" Type="http://schemas.openxmlformats.org/officeDocument/2006/relationships/hyperlink" Target="https://rent.rakuya.com.tw/item/00d91d329005354" TargetMode="External"/><Relationship Id="rId13" Type="http://schemas.openxmlformats.org/officeDocument/2006/relationships/hyperlink" Target="https://rent.rakuya.com.tw/item/03d025324116261" TargetMode="External"/><Relationship Id="rId14" Type="http://schemas.openxmlformats.org/officeDocument/2006/relationships/hyperlink" Target="https://business.591.com.tw/rent/21903407" TargetMode="External"/><Relationship Id="rId15" Type="http://schemas.openxmlformats.org/officeDocument/2006/relationships/hyperlink" Target="https://business.591.com.tw/rent/22064957" TargetMode="External"/><Relationship Id="rId16" Type="http://schemas.openxmlformats.org/officeDocument/2006/relationships/hyperlink" Target="https://www.hcrt.com.tw/show.asp?prodcode=G1181" TargetMode="External"/><Relationship Id="rId17" Type="http://schemas.openxmlformats.org/officeDocument/2006/relationships/hyperlink" Target="https://rent.rakuya.com.tw/item/0a3bc533212856d" TargetMode="External"/><Relationship Id="rId18" Type="http://schemas.openxmlformats.org/officeDocument/2006/relationships/hyperlink" Target="https://business.591.com.tw/rent/21952568" TargetMode="External"/><Relationship Id="rId19" Type="http://schemas.openxmlformats.org/officeDocument/2006/relationships/hyperlink" Target="https://business.591.com.tw/rent/21971884" TargetMode="External"/><Relationship Id="rId20" Type="http://schemas.openxmlformats.org/officeDocument/2006/relationships/hyperlink" Target="https://tw.mixrent.com/search.php?q=&#26032;&#31481;&#20489;&#24235;" TargetMode="External"/><Relationship Id="rId21" Type="http://schemas.openxmlformats.org/officeDocument/2006/relationships/hyperlink" Target="https://tw.mixrent.com/search.php?q=&#26032;&#31481;&#20489;&#24235;" TargetMode="External"/><Relationship Id="rId22" Type="http://schemas.openxmlformats.org/officeDocument/2006/relationships/hyperlink" Target="https://tw.mixrent.com/search.php?q=&#26032;&#31481;&#20489;&#24235;" TargetMode="External"/><Relationship Id="rId23" Type="http://schemas.openxmlformats.org/officeDocument/2006/relationships/hyperlink" Target="https://tw.mixrent.com/search.php?q=&#26032;&#31481;&#20489;&#24235;" TargetMode="External"/><Relationship Id="rId24" Type="http://schemas.openxmlformats.org/officeDocument/2006/relationships/hyperlink" Target="https://tw.mixrent.com/search.php?q=&#26032;&#31481;&#20489;&#24235;" TargetMode="External"/><Relationship Id="rId25" Type="http://schemas.openxmlformats.org/officeDocument/2006/relationships/drawing" Target="../drawings/drawing1.xml"/><Relationship Id="rId2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9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6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5" t="s">
        <v>5</v>
      </c>
    </row>
    <row r="7" customFormat="false" ht="45" hidden="false" customHeight="true" outlineLevel="0" collapsed="false">
      <c r="B7" s="3" t="s">
        <v>6</v>
      </c>
      <c r="C7" s="5" t="s">
        <v>7</v>
      </c>
    </row>
    <row r="8" customFormat="false" ht="15" hidden="false" customHeight="true" outlineLevel="0" collapsed="false">
      <c r="B8" s="3" t="s">
        <v>8</v>
      </c>
      <c r="C8" s="5" t="s">
        <v>9</v>
      </c>
    </row>
    <row r="9" customFormat="false" ht="30" hidden="false" customHeight="true" outlineLevel="0" collapsed="false">
      <c r="B9" s="3" t="s">
        <v>10</v>
      </c>
      <c r="C9" s="5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2" min="10" style="0" width="10"/>
    <col collapsed="false" customWidth="true" hidden="false" outlineLevel="0" max="14" min="13" style="0" width="9"/>
    <col collapsed="false" customWidth="true" hidden="false" outlineLevel="0" max="18" min="15" style="0" width="10"/>
    <col collapsed="false" customWidth="true" hidden="false" outlineLevel="0" max="19" min="19" style="0" width="26"/>
    <col collapsed="false" customWidth="true" hidden="false" outlineLevel="0" max="20" min="20" style="0" width="24"/>
    <col collapsed="false" customWidth="true" hidden="false" outlineLevel="0" max="21" min="21" style="0" width="13"/>
    <col collapsed="false" customWidth="true" hidden="false" outlineLevel="0" max="22" min="22" style="0" width="11"/>
    <col collapsed="false" customWidth="true" hidden="false" outlineLevel="0" max="23" min="23" style="0" width="9"/>
    <col collapsed="false" customWidth="true" hidden="false" outlineLevel="0" max="24" min="24" style="0" width="40"/>
    <col collapsed="false" customWidth="true" hidden="false" outlineLevel="0" max="25" min="25" style="0" width="14"/>
    <col collapsed="false" customWidth="true" hidden="false" outlineLevel="0" max="26" min="26" style="0" width="10"/>
    <col collapsed="false" customWidth="true" hidden="false" outlineLevel="0" max="27" min="27" style="0" width="18"/>
    <col collapsed="false" customWidth="true" hidden="false" outlineLevel="0" max="28" min="28" style="0" width="16"/>
    <col collapsed="false" customWidth="true" hidden="false" outlineLevel="0" max="29" min="29" style="0" width="11"/>
    <col collapsed="false" customWidth="true" hidden="false" outlineLevel="0" max="30" min="30" style="0" width="20"/>
  </cols>
  <sheetData>
    <row r="1" customFormat="false" ht="17.35" hidden="false" customHeight="false" outlineLevel="0" collapsed="false">
      <c r="A1" s="6" t="s">
        <v>14</v>
      </c>
    </row>
    <row r="2" customFormat="false" ht="15" hidden="false" customHeight="false" outlineLevel="0" collapsed="false">
      <c r="A2" s="7" t="s">
        <v>15</v>
      </c>
    </row>
    <row r="4" customFormat="false" ht="42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  <c r="O4" s="8" t="s">
        <v>30</v>
      </c>
      <c r="P4" s="8" t="s">
        <v>31</v>
      </c>
      <c r="Q4" s="8" t="s">
        <v>32</v>
      </c>
      <c r="R4" s="8" t="s">
        <v>33</v>
      </c>
      <c r="S4" s="8" t="s">
        <v>34</v>
      </c>
      <c r="T4" s="8" t="s">
        <v>35</v>
      </c>
      <c r="U4" s="8" t="s">
        <v>36</v>
      </c>
      <c r="V4" s="8" t="s">
        <v>37</v>
      </c>
      <c r="W4" s="8" t="s">
        <v>38</v>
      </c>
      <c r="X4" s="8" t="s">
        <v>39</v>
      </c>
      <c r="Y4" s="8" t="s">
        <v>40</v>
      </c>
      <c r="Z4" s="8" t="s">
        <v>41</v>
      </c>
      <c r="AA4" s="8" t="s">
        <v>42</v>
      </c>
      <c r="AB4" s="8" t="s">
        <v>43</v>
      </c>
      <c r="AC4" s="8" t="s">
        <v>44</v>
      </c>
      <c r="AD4" s="8" t="s">
        <v>45</v>
      </c>
    </row>
    <row r="5" customFormat="false" ht="29.85" hidden="false" customHeight="false" outlineLevel="0" collapsed="false">
      <c r="A5" s="9" t="s">
        <v>46</v>
      </c>
      <c r="B5" s="10" t="s">
        <v>47</v>
      </c>
      <c r="C5" s="10" t="s">
        <v>48</v>
      </c>
      <c r="D5" s="10" t="s">
        <v>49</v>
      </c>
      <c r="E5" s="10" t="s">
        <v>50</v>
      </c>
      <c r="F5" s="10" t="s">
        <v>51</v>
      </c>
      <c r="G5" s="11" t="n">
        <v>1400</v>
      </c>
      <c r="H5" s="12" t="n">
        <v>1400</v>
      </c>
      <c r="I5" s="11" t="n">
        <v>1200000</v>
      </c>
      <c r="J5" s="13" t="n">
        <f aca="false">IF(OR(G5="",I5="",G5=0),"",I5/G5)</f>
        <v>857.142857142857</v>
      </c>
      <c r="K5" s="14" t="n">
        <v>10</v>
      </c>
      <c r="L5" s="15"/>
      <c r="M5" s="15"/>
      <c r="N5" s="15"/>
      <c r="O5" s="16" t="n">
        <f aca="false">IF(L5&lt;&gt;"",L5,IF(K5&lt;&gt;"",K5,""))</f>
        <v>10</v>
      </c>
      <c r="P5" s="17" t="str">
        <f aca="false">IF(O5="","待量",IF(O5&gt;=規格門檻!$D$10,"理想",IF(O5&gt;=規格門檻!$D$11,"可打","太低")))</f>
        <v>理想</v>
      </c>
      <c r="Q5" s="18" t="n">
        <f aca="false">IF(AND(M5&lt;&gt;"",N5&lt;&gt;""),MAX(INT(M5/規格門檻!$B$5)*INT(N5/規格門檻!$C$5),INT(M5/規格門檻!$C$5)*INT(N5/規格門檻!$B$5)),IF(H5="","",MAX(0,INT((H5-規格門檻!$D$8)/規格門檻!$D$5))))</f>
        <v>9</v>
      </c>
      <c r="R5" s="18" t="n">
        <f aca="false">IF(AND(M5&lt;&gt;"",N5&lt;&gt;""),MAX(INT(M5/規格門檻!$B$6)*INT(N5/規格門檻!$C$6),INT(M5/規格門檻!$C$6)*INT(N5/規格門檻!$B$6)),IF(H5="","",MAX(0,INT((H5-規格門檻!$D$8)/規格門檻!$D$6))))</f>
        <v>12</v>
      </c>
      <c r="S5" s="19" t="str">
        <f aca="false">IF(H5="","資料不足：先問坪數",IF(P5="太低","不適合：淨高不夠",IF(H5&gt;=規格門檻!$D$12,"整棟太大：問能否分租約 "&amp;TEXT(規格門檻!$D$18,"0")&amp;" 坪",IF(Q5&gt;=2,"2 面排球（龍蝦規格）",IF(R5&gt;=2,"2 面排球（精簡）",IF(R5&gt;=1,"1 面排球＋複合式",IF(H5&gt;=規格門檻!$D$6,"勉強 1 面：公共區要很小","太小：放不下一面")))))))</f>
        <v>整棟太大：問能否分租約 312 坪</v>
      </c>
      <c r="T5" s="19" t="str">
        <f aca="false">IF(E5="","待查",IF(ISNUMBER(SEARCH("農業",E5)),"農業區：先問建管能否變更",IF(ISNUMBER(SEARCH("工",E5)),"工業區：可申請變更，仍要問建管","依使用執照，要問建管")))</f>
        <v>工業區：可申請變更，仍要問建管</v>
      </c>
      <c r="U5" s="13" t="n">
        <f aca="false">IF(OR(J5="",H5&lt;規格門檻!$D$17),"",J5*規格門檻!$D$18)</f>
        <v>267641.80704044</v>
      </c>
      <c r="V5" s="20" t="n">
        <v>8.6</v>
      </c>
      <c r="W5" s="21" t="s">
        <v>52</v>
      </c>
      <c r="X5" s="19" t="s">
        <v>53</v>
      </c>
      <c r="Y5" s="22" t="s">
        <v>54</v>
      </c>
      <c r="Z5" s="23" t="s">
        <v>55</v>
      </c>
      <c r="AA5" s="24"/>
      <c r="AB5" s="24"/>
      <c r="AC5" s="24"/>
      <c r="AD5" s="24"/>
    </row>
    <row r="6" customFormat="false" ht="29.85" hidden="false" customHeight="false" outlineLevel="0" collapsed="false">
      <c r="A6" s="9" t="s">
        <v>46</v>
      </c>
      <c r="B6" s="10" t="s">
        <v>56</v>
      </c>
      <c r="C6" s="10" t="s">
        <v>48</v>
      </c>
      <c r="D6" s="10" t="s">
        <v>49</v>
      </c>
      <c r="E6" s="10" t="s">
        <v>57</v>
      </c>
      <c r="F6" s="10" t="s">
        <v>51</v>
      </c>
      <c r="G6" s="11" t="n">
        <v>1416</v>
      </c>
      <c r="H6" s="12" t="n">
        <v>1416</v>
      </c>
      <c r="I6" s="11" t="n">
        <v>1200000</v>
      </c>
      <c r="J6" s="13" t="n">
        <f aca="false">IF(OR(G6="",I6="",G6=0),"",I6/G6)</f>
        <v>847.457627118644</v>
      </c>
      <c r="K6" s="14"/>
      <c r="L6" s="15"/>
      <c r="M6" s="15"/>
      <c r="N6" s="15"/>
      <c r="O6" s="16" t="str">
        <f aca="false">IF(L6&lt;&gt;"",L6,IF(K6&lt;&gt;"",K6,""))</f>
        <v/>
      </c>
      <c r="P6" s="17" t="str">
        <f aca="false">IF(O6="","待量",IF(O6&gt;=規格門檻!$D$10,"理想",IF(O6&gt;=規格門檻!$D$11,"可打","太低")))</f>
        <v>待量</v>
      </c>
      <c r="Q6" s="18" t="n">
        <f aca="false">IF(AND(M6&lt;&gt;"",N6&lt;&gt;""),MAX(INT(M6/規格門檻!$B$5)*INT(N6/規格門檻!$C$5),INT(M6/規格門檻!$C$5)*INT(N6/規格門檻!$B$5)),IF(H6="","",MAX(0,INT((H6-規格門檻!$D$8)/規格門檻!$D$5))))</f>
        <v>10</v>
      </c>
      <c r="R6" s="18" t="n">
        <f aca="false">IF(AND(M6&lt;&gt;"",N6&lt;&gt;""),MAX(INT(M6/規格門檻!$B$6)*INT(N6/規格門檻!$C$6),INT(M6/規格門檻!$C$6)*INT(N6/規格門檻!$B$6)),IF(H6="","",MAX(0,INT((H6-規格門檻!$D$8)/規格門檻!$D$6))))</f>
        <v>12</v>
      </c>
      <c r="S6" s="19" t="str">
        <f aca="false">IF(H6="","資料不足：先問坪數",IF(P6="太低","不適合：淨高不夠",IF(H6&gt;=規格門檻!$D$12,"整棟太大：問能否分租約 "&amp;TEXT(規格門檻!$D$18,"0")&amp;" 坪",IF(Q6&gt;=2,"2 面排球（龍蝦規格）",IF(R6&gt;=2,"2 面排球（精簡）",IF(R6&gt;=1,"1 面排球＋複合式",IF(H6&gt;=規格門檻!$D$6,"勉強 1 面：公共區要很小","太小：放不下一面")))))))</f>
        <v>整棟太大：問能否分租約 312 坪</v>
      </c>
      <c r="T6" s="19" t="str">
        <f aca="false">IF(E6="","待查",IF(ISNUMBER(SEARCH("農業",E6)),"農業區：先問建管能否變更",IF(ISNUMBER(SEARCH("工",E6)),"工業區：可申請變更，仍要問建管","依使用執照，要問建管")))</f>
        <v>工業區：可申請變更，仍要問建管</v>
      </c>
      <c r="U6" s="13" t="n">
        <f aca="false">IF(OR(J6="",H6&lt;規格門檻!$D$17),"",J6*規格門檻!$D$18)</f>
        <v>264617.605830943</v>
      </c>
      <c r="V6" s="20" t="n">
        <v>8.6</v>
      </c>
      <c r="W6" s="21" t="s">
        <v>52</v>
      </c>
      <c r="X6" s="19" t="s">
        <v>58</v>
      </c>
      <c r="Y6" s="22" t="s">
        <v>54</v>
      </c>
      <c r="Z6" s="23" t="s">
        <v>55</v>
      </c>
      <c r="AA6" s="24"/>
      <c r="AB6" s="24"/>
      <c r="AC6" s="24"/>
      <c r="AD6" s="24"/>
    </row>
    <row r="7" customFormat="false" ht="29.85" hidden="false" customHeight="false" outlineLevel="0" collapsed="false">
      <c r="A7" s="9" t="s">
        <v>46</v>
      </c>
      <c r="B7" s="10" t="s">
        <v>59</v>
      </c>
      <c r="C7" s="10" t="s">
        <v>48</v>
      </c>
      <c r="D7" s="10" t="s">
        <v>49</v>
      </c>
      <c r="E7" s="10" t="s">
        <v>50</v>
      </c>
      <c r="F7" s="22" t="s">
        <v>60</v>
      </c>
      <c r="G7" s="11" t="n">
        <v>1800</v>
      </c>
      <c r="H7" s="12" t="n">
        <v>1800</v>
      </c>
      <c r="I7" s="11" t="n">
        <v>1350000</v>
      </c>
      <c r="J7" s="13" t="n">
        <f aca="false">IF(OR(G7="",I7="",G7=0),"",I7/G7)</f>
        <v>750</v>
      </c>
      <c r="K7" s="14"/>
      <c r="L7" s="15"/>
      <c r="M7" s="15"/>
      <c r="N7" s="15"/>
      <c r="O7" s="16" t="str">
        <f aca="false">IF(L7&lt;&gt;"",L7,IF(K7&lt;&gt;"",K7,""))</f>
        <v/>
      </c>
      <c r="P7" s="17" t="str">
        <f aca="false">IF(O7="","待量",IF(O7&gt;=規格門檻!$D$10,"理想",IF(O7&gt;=規格門檻!$D$11,"可打","太低")))</f>
        <v>待量</v>
      </c>
      <c r="Q7" s="18" t="n">
        <f aca="false">IF(AND(M7&lt;&gt;"",N7&lt;&gt;""),MAX(INT(M7/規格門檻!$B$5)*INT(N7/規格門檻!$C$5),INT(M7/規格門檻!$C$5)*INT(N7/規格門檻!$B$5)),IF(H7="","",MAX(0,INT((H7-規格門檻!$D$8)/規格門檻!$D$5))))</f>
        <v>12</v>
      </c>
      <c r="R7" s="18" t="n">
        <f aca="false">IF(AND(M7&lt;&gt;"",N7&lt;&gt;""),MAX(INT(M7/規格門檻!$B$6)*INT(N7/規格門檻!$C$6),INT(M7/規格門檻!$C$6)*INT(N7/規格門檻!$B$6)),IF(H7="","",MAX(0,INT((H7-規格門檻!$D$8)/規格門檻!$D$6))))</f>
        <v>16</v>
      </c>
      <c r="S7" s="19" t="str">
        <f aca="false">IF(H7="","資料不足：先問坪數",IF(P7="太低","不適合：淨高不夠",IF(H7&gt;=規格門檻!$D$12,"整棟太大：問能否分租約 "&amp;TEXT(規格門檻!$D$18,"0")&amp;" 坪",IF(Q7&gt;=2,"2 面排球（龍蝦規格）",IF(R7&gt;=2,"2 面排球（精簡）",IF(R7&gt;=1,"1 面排球＋複合式",IF(H7&gt;=規格門檻!$D$6,"勉強 1 面：公共區要很小","太小：放不下一面")))))))</f>
        <v>整棟太大：問能否分租約 312 坪</v>
      </c>
      <c r="T7" s="19" t="str">
        <f aca="false">IF(E7="","待查",IF(ISNUMBER(SEARCH("農業",E7)),"農業區：先問建管能否變更",IF(ISNUMBER(SEARCH("工",E7)),"工業區：可申請變更，仍要問建管","依使用執照，要問建管")))</f>
        <v>工業區：可申請變更，仍要問建管</v>
      </c>
      <c r="U7" s="13" t="n">
        <f aca="false">IF(OR(J7="",H7&lt;規格門檻!$D$17),"",J7*規格門檻!$D$18)</f>
        <v>234186.581160385</v>
      </c>
      <c r="V7" s="20" t="n">
        <v>8.6</v>
      </c>
      <c r="W7" s="21" t="s">
        <v>52</v>
      </c>
      <c r="X7" s="19" t="s">
        <v>61</v>
      </c>
      <c r="Y7" s="22" t="s">
        <v>54</v>
      </c>
      <c r="Z7" s="23" t="s">
        <v>55</v>
      </c>
      <c r="AA7" s="24"/>
      <c r="AB7" s="24"/>
      <c r="AC7" s="24"/>
      <c r="AD7" s="24"/>
    </row>
    <row r="8" customFormat="false" ht="29.85" hidden="false" customHeight="false" outlineLevel="0" collapsed="false">
      <c r="A8" s="9" t="s">
        <v>46</v>
      </c>
      <c r="B8" s="10" t="s">
        <v>62</v>
      </c>
      <c r="C8" s="10" t="s">
        <v>63</v>
      </c>
      <c r="D8" s="10" t="s">
        <v>64</v>
      </c>
      <c r="E8" s="10" t="s">
        <v>65</v>
      </c>
      <c r="F8" s="10" t="s">
        <v>51</v>
      </c>
      <c r="G8" s="11" t="n">
        <v>300</v>
      </c>
      <c r="H8" s="12" t="n">
        <v>300</v>
      </c>
      <c r="I8" s="11" t="n">
        <v>125000</v>
      </c>
      <c r="J8" s="13" t="n">
        <f aca="false">IF(OR(G8="",I8="",G8=0),"",I8/G8)</f>
        <v>416.666666666667</v>
      </c>
      <c r="K8" s="14"/>
      <c r="L8" s="15"/>
      <c r="M8" s="15"/>
      <c r="N8" s="15"/>
      <c r="O8" s="16" t="str">
        <f aca="false">IF(L8&lt;&gt;"",L8,IF(K8&lt;&gt;"",K8,""))</f>
        <v/>
      </c>
      <c r="P8" s="17" t="str">
        <f aca="false">IF(O8="","待量",IF(O8&gt;=規格門檻!$D$10,"理想",IF(O8&gt;=規格門檻!$D$11,"可打","太低")))</f>
        <v>待量</v>
      </c>
      <c r="Q8" s="18" t="n">
        <f aca="false">IF(AND(M8&lt;&gt;"",N8&lt;&gt;""),MAX(INT(M8/規格門檻!$B$5)*INT(N8/規格門檻!$C$5),INT(M8/規格門檻!$C$5)*INT(N8/規格門檻!$B$5)),IF(H8="","",MAX(0,INT((H8-規格門檻!$D$8)/規格門檻!$D$5))))</f>
        <v>1</v>
      </c>
      <c r="R8" s="18" t="n">
        <f aca="false">IF(AND(M8&lt;&gt;"",N8&lt;&gt;""),MAX(INT(M8/規格門檻!$B$6)*INT(N8/規格門檻!$C$6),INT(M8/規格門檻!$C$6)*INT(N8/規格門檻!$B$6)),IF(H8="","",MAX(0,INT((H8-規格門檻!$D$8)/規格門檻!$D$6))))</f>
        <v>2</v>
      </c>
      <c r="S8" s="19" t="str">
        <f aca="false">IF(H8="","資料不足：先問坪數",IF(P8="太低","不適合：淨高不夠",IF(H8&gt;=規格門檻!$D$12,"整棟太大：問能否分租約 "&amp;TEXT(規格門檻!$D$18,"0")&amp;" 坪",IF(Q8&gt;=2,"2 面排球（龍蝦規格）",IF(R8&gt;=2,"2 面排球（精簡）",IF(R8&gt;=1,"1 面排球＋複合式",IF(H8&gt;=規格門檻!$D$6,"勉強 1 面：公共區要很小","太小：放不下一面")))))))</f>
        <v>2 面排球（精簡）</v>
      </c>
      <c r="T8" s="19" t="str">
        <f aca="false">IF(E8="","待查",IF(ISNUMBER(SEARCH("農業",E8)),"農業區：先問建管能否變更",IF(ISNUMBER(SEARCH("工",E8)),"工業區：可申請變更，仍要問建管","依使用執照，要問建管")))</f>
        <v>工業區：可申請變更，仍要問建管</v>
      </c>
      <c r="U8" s="13" t="n">
        <f aca="false">IF(OR(J8="",H8&lt;規格門檻!$D$17),"",J8*規格門檻!$D$18)</f>
        <v>130103.656200214</v>
      </c>
      <c r="V8" s="20" t="n">
        <v>7.6</v>
      </c>
      <c r="W8" s="21" t="s">
        <v>66</v>
      </c>
      <c r="X8" s="19" t="s">
        <v>67</v>
      </c>
      <c r="Y8" s="10" t="s">
        <v>68</v>
      </c>
      <c r="Z8" s="23" t="s">
        <v>55</v>
      </c>
      <c r="AA8" s="24"/>
      <c r="AB8" s="24"/>
      <c r="AC8" s="24"/>
      <c r="AD8" s="24"/>
    </row>
    <row r="9" customFormat="false" ht="29.85" hidden="false" customHeight="false" outlineLevel="0" collapsed="false">
      <c r="A9" s="9" t="s">
        <v>69</v>
      </c>
      <c r="B9" s="10" t="s">
        <v>70</v>
      </c>
      <c r="C9" s="10" t="s">
        <v>48</v>
      </c>
      <c r="D9" s="10" t="s">
        <v>71</v>
      </c>
      <c r="E9" s="10" t="s">
        <v>72</v>
      </c>
      <c r="F9" s="10" t="s">
        <v>51</v>
      </c>
      <c r="G9" s="11" t="n">
        <v>150</v>
      </c>
      <c r="H9" s="12" t="n">
        <v>150</v>
      </c>
      <c r="I9" s="11" t="n">
        <v>65000</v>
      </c>
      <c r="J9" s="13" t="n">
        <f aca="false">IF(OR(G9="",I9="",G9=0),"",I9/G9)</f>
        <v>433.333333333333</v>
      </c>
      <c r="K9" s="14"/>
      <c r="L9" s="15"/>
      <c r="M9" s="15"/>
      <c r="N9" s="15"/>
      <c r="O9" s="16" t="str">
        <f aca="false">IF(L9&lt;&gt;"",L9,IF(K9&lt;&gt;"",K9,""))</f>
        <v/>
      </c>
      <c r="P9" s="17" t="str">
        <f aca="false">IF(O9="","待量",IF(O9&gt;=規格門檻!$D$10,"理想",IF(O9&gt;=規格門檻!$D$11,"可打","太低")))</f>
        <v>待量</v>
      </c>
      <c r="Q9" s="18" t="n">
        <f aca="false">IF(AND(M9&lt;&gt;"",N9&lt;&gt;""),MAX(INT(M9/規格門檻!$B$5)*INT(N9/規格門檻!$C$5),INT(M9/規格門檻!$C$5)*INT(N9/規格門檻!$B$5)),IF(H9="","",MAX(0,INT((H9-規格門檻!$D$8)/規格門檻!$D$5))))</f>
        <v>0</v>
      </c>
      <c r="R9" s="18" t="n">
        <f aca="false">IF(AND(M9&lt;&gt;"",N9&lt;&gt;""),MAX(INT(M9/規格門檻!$B$6)*INT(N9/規格門檻!$C$6),INT(M9/規格門檻!$C$6)*INT(N9/規格門檻!$B$6)),IF(H9="","",MAX(0,INT((H9-規格門檻!$D$8)/規格門檻!$D$6))))</f>
        <v>1</v>
      </c>
      <c r="S9" s="19" t="str">
        <f aca="false">IF(H9="","資料不足：先問坪數",IF(P9="太低","不適合：淨高不夠",IF(H9&gt;=規格門檻!$D$12,"整棟太大：問能否分租約 "&amp;TEXT(規格門檻!$D$18,"0")&amp;" 坪",IF(Q9&gt;=2,"2 面排球（龍蝦規格）",IF(R9&gt;=2,"2 面排球（精簡）",IF(R9&gt;=1,"1 面排球＋複合式",IF(H9&gt;=規格門檻!$D$6,"勉強 1 面：公共區要很小","太小：放不下一面")))))))</f>
        <v>1 面排球＋複合式</v>
      </c>
      <c r="T9" s="19" t="str">
        <f aca="false">IF(E9="","待查",IF(ISNUMBER(SEARCH("農業",E9)),"農業區：先問建管能否變更",IF(ISNUMBER(SEARCH("工",E9)),"工業區：可申請變更，仍要問建管","依使用執照，要問建管")))</f>
        <v>農業區：先問建管能否變更</v>
      </c>
      <c r="U9" s="13" t="str">
        <f aca="false">IF(OR(J9="",H9&lt;規格門檻!$D$17),"",J9*規格門檻!$D$18)</f>
        <v/>
      </c>
      <c r="V9" s="20" t="n">
        <v>4.8</v>
      </c>
      <c r="W9" s="21" t="s">
        <v>52</v>
      </c>
      <c r="X9" s="19" t="s">
        <v>73</v>
      </c>
      <c r="Y9" s="22" t="s">
        <v>54</v>
      </c>
      <c r="Z9" s="23" t="s">
        <v>55</v>
      </c>
      <c r="AA9" s="24"/>
      <c r="AB9" s="24"/>
      <c r="AC9" s="24"/>
      <c r="AD9" s="24"/>
    </row>
    <row r="10" customFormat="false" ht="29.85" hidden="false" customHeight="false" outlineLevel="0" collapsed="false">
      <c r="A10" s="9" t="s">
        <v>69</v>
      </c>
      <c r="B10" s="10" t="s">
        <v>74</v>
      </c>
      <c r="C10" s="10" t="s">
        <v>48</v>
      </c>
      <c r="D10" s="10" t="s">
        <v>75</v>
      </c>
      <c r="E10" s="10" t="s">
        <v>72</v>
      </c>
      <c r="F10" s="10" t="s">
        <v>51</v>
      </c>
      <c r="G10" s="11" t="n">
        <v>500</v>
      </c>
      <c r="H10" s="12" t="n">
        <v>500</v>
      </c>
      <c r="I10" s="11" t="n">
        <v>150000</v>
      </c>
      <c r="J10" s="13" t="n">
        <f aca="false">IF(OR(G10="",I10="",G10=0),"",I10/G10)</f>
        <v>300</v>
      </c>
      <c r="K10" s="14"/>
      <c r="L10" s="15"/>
      <c r="M10" s="15"/>
      <c r="N10" s="15"/>
      <c r="O10" s="16" t="str">
        <f aca="false">IF(L10&lt;&gt;"",L10,IF(K10&lt;&gt;"",K10,""))</f>
        <v/>
      </c>
      <c r="P10" s="17" t="str">
        <f aca="false">IF(O10="","待量",IF(O10&gt;=規格門檻!$D$10,"理想",IF(O10&gt;=規格門檻!$D$11,"可打","太低")))</f>
        <v>待量</v>
      </c>
      <c r="Q10" s="18" t="n">
        <f aca="false">IF(AND(M10&lt;&gt;"",N10&lt;&gt;""),MAX(INT(M10/規格門檻!$B$5)*INT(N10/規格門檻!$C$5),INT(M10/規格門檻!$C$5)*INT(N10/規格門檻!$B$5)),IF(H10="","",MAX(0,INT((H10-規格門檻!$D$8)/規格門檻!$D$5))))</f>
        <v>3</v>
      </c>
      <c r="R10" s="18" t="n">
        <f aca="false">IF(AND(M10&lt;&gt;"",N10&lt;&gt;""),MAX(INT(M10/規格門檻!$B$6)*INT(N10/規格門檻!$C$6),INT(M10/規格門檻!$C$6)*INT(N10/規格門檻!$B$6)),IF(H10="","",MAX(0,INT((H10-規格門檻!$D$8)/規格門檻!$D$6))))</f>
        <v>4</v>
      </c>
      <c r="S10" s="19" t="str">
        <f aca="false">IF(H10="","資料不足：先問坪數",IF(P10="太低","不適合：淨高不夠",IF(H10&gt;=規格門檻!$D$12,"整棟太大：問能否分租約 "&amp;TEXT(規格門檻!$D$18,"0")&amp;" 坪",IF(Q10&gt;=2,"2 面排球（龍蝦規格）",IF(R10&gt;=2,"2 面排球（精簡）",IF(R10&gt;=1,"1 面排球＋複合式",IF(H10&gt;=規格門檻!$D$6,"勉強 1 面：公共區要很小","太小：放不下一面")))))))</f>
        <v>2 面排球（龍蝦規格）</v>
      </c>
      <c r="T10" s="19" t="str">
        <f aca="false">IF(E10="","待查",IF(ISNUMBER(SEARCH("農業",E10)),"農業區：先問建管能否變更",IF(ISNUMBER(SEARCH("工",E10)),"工業區：可申請變更，仍要問建管","依使用執照，要問建管")))</f>
        <v>農業區：先問建管能否變更</v>
      </c>
      <c r="U10" s="13" t="n">
        <f aca="false">IF(OR(J10="",H10&lt;規格門檻!$D$17),"",J10*規格門檻!$D$18)</f>
        <v>93674.6324641539</v>
      </c>
      <c r="V10" s="20" t="n">
        <v>6.6</v>
      </c>
      <c r="W10" s="21" t="s">
        <v>52</v>
      </c>
      <c r="X10" s="19" t="s">
        <v>76</v>
      </c>
      <c r="Y10" s="22" t="s">
        <v>54</v>
      </c>
      <c r="Z10" s="23" t="s">
        <v>55</v>
      </c>
      <c r="AA10" s="24"/>
      <c r="AB10" s="24"/>
      <c r="AC10" s="24"/>
      <c r="AD10" s="24"/>
    </row>
    <row r="11" customFormat="false" ht="29.85" hidden="false" customHeight="false" outlineLevel="0" collapsed="false">
      <c r="A11" s="9" t="s">
        <v>69</v>
      </c>
      <c r="B11" s="10" t="s">
        <v>77</v>
      </c>
      <c r="C11" s="10" t="s">
        <v>63</v>
      </c>
      <c r="D11" s="10" t="s">
        <v>78</v>
      </c>
      <c r="E11" s="10" t="s">
        <v>79</v>
      </c>
      <c r="F11" s="22" t="s">
        <v>60</v>
      </c>
      <c r="G11" s="11" t="n">
        <v>150</v>
      </c>
      <c r="H11" s="12" t="n">
        <v>150</v>
      </c>
      <c r="I11" s="11" t="n">
        <v>75000</v>
      </c>
      <c r="J11" s="13" t="n">
        <f aca="false">IF(OR(G11="",I11="",G11=0),"",I11/G11)</f>
        <v>500</v>
      </c>
      <c r="K11" s="14"/>
      <c r="L11" s="15"/>
      <c r="M11" s="15"/>
      <c r="N11" s="15"/>
      <c r="O11" s="16" t="str">
        <f aca="false">IF(L11&lt;&gt;"",L11,IF(K11&lt;&gt;"",K11,""))</f>
        <v/>
      </c>
      <c r="P11" s="17" t="str">
        <f aca="false">IF(O11="","待量",IF(O11&gt;=規格門檻!$D$10,"理想",IF(O11&gt;=規格門檻!$D$11,"可打","太低")))</f>
        <v>待量</v>
      </c>
      <c r="Q11" s="18" t="n">
        <f aca="false">IF(AND(M11&lt;&gt;"",N11&lt;&gt;""),MAX(INT(M11/規格門檻!$B$5)*INT(N11/規格門檻!$C$5),INT(M11/規格門檻!$C$5)*INT(N11/規格門檻!$B$5)),IF(H11="","",MAX(0,INT((H11-規格門檻!$D$8)/規格門檻!$D$5))))</f>
        <v>0</v>
      </c>
      <c r="R11" s="18" t="n">
        <f aca="false">IF(AND(M11&lt;&gt;"",N11&lt;&gt;""),MAX(INT(M11/規格門檻!$B$6)*INT(N11/規格門檻!$C$6),INT(M11/規格門檻!$C$6)*INT(N11/規格門檻!$B$6)),IF(H11="","",MAX(0,INT((H11-規格門檻!$D$8)/規格門檻!$D$6))))</f>
        <v>1</v>
      </c>
      <c r="S11" s="19" t="str">
        <f aca="false">IF(H11="","資料不足：先問坪數",IF(P11="太低","不適合：淨高不夠",IF(H11&gt;=規格門檻!$D$12,"整棟太大：問能否分租約 "&amp;TEXT(規格門檻!$D$18,"0")&amp;" 坪",IF(Q11&gt;=2,"2 面排球（龍蝦規格）",IF(R11&gt;=2,"2 面排球（精簡）",IF(R11&gt;=1,"1 面排球＋複合式",IF(H11&gt;=規格門檻!$D$6,"勉強 1 面：公共區要很小","太小：放不下一面")))))))</f>
        <v>1 面排球＋複合式</v>
      </c>
      <c r="T11" s="19" t="str">
        <f aca="false">IF(E11="","待查",IF(ISNUMBER(SEARCH("農業",E11)),"農業區：先問建管能否變更",IF(ISNUMBER(SEARCH("工",E11)),"工業區：可申請變更，仍要問建管","依使用執照，要問建管")))</f>
        <v>依使用執照，要問建管</v>
      </c>
      <c r="U11" s="13" t="str">
        <f aca="false">IF(OR(J11="",H11&lt;規格門檻!$D$17),"",J11*規格門檻!$D$18)</f>
        <v/>
      </c>
      <c r="V11" s="20" t="n">
        <v>0.8</v>
      </c>
      <c r="W11" s="21" t="s">
        <v>66</v>
      </c>
      <c r="X11" s="25" t="s">
        <v>80</v>
      </c>
      <c r="Y11" s="10" t="s">
        <v>81</v>
      </c>
      <c r="Z11" s="23" t="s">
        <v>55</v>
      </c>
      <c r="AA11" s="24"/>
      <c r="AB11" s="24"/>
      <c r="AC11" s="24"/>
      <c r="AD11" s="24"/>
    </row>
    <row r="12" customFormat="false" ht="29.85" hidden="false" customHeight="false" outlineLevel="0" collapsed="false">
      <c r="A12" s="9" t="s">
        <v>69</v>
      </c>
      <c r="B12" s="10" t="s">
        <v>82</v>
      </c>
      <c r="C12" s="10" t="s">
        <v>48</v>
      </c>
      <c r="D12" s="10" t="s">
        <v>83</v>
      </c>
      <c r="E12" s="10" t="s">
        <v>84</v>
      </c>
      <c r="F12" s="22" t="s">
        <v>60</v>
      </c>
      <c r="G12" s="11" t="n">
        <v>50</v>
      </c>
      <c r="H12" s="12" t="n">
        <v>50</v>
      </c>
      <c r="I12" s="11" t="n">
        <v>25000</v>
      </c>
      <c r="J12" s="13" t="n">
        <f aca="false">IF(OR(G12="",I12="",G12=0),"",I12/G12)</f>
        <v>500</v>
      </c>
      <c r="K12" s="14" t="n">
        <v>9</v>
      </c>
      <c r="L12" s="15"/>
      <c r="M12" s="15"/>
      <c r="N12" s="15"/>
      <c r="O12" s="16" t="n">
        <f aca="false">IF(L12&lt;&gt;"",L12,IF(K12&lt;&gt;"",K12,""))</f>
        <v>9</v>
      </c>
      <c r="P12" s="17" t="str">
        <f aca="false">IF(O12="","待量",IF(O12&gt;=規格門檻!$D$10,"理想",IF(O12&gt;=規格門檻!$D$11,"可打","太低")))</f>
        <v>理想</v>
      </c>
      <c r="Q12" s="18" t="n">
        <f aca="false">IF(AND(M12&lt;&gt;"",N12&lt;&gt;""),MAX(INT(M12/規格門檻!$B$5)*INT(N12/規格門檻!$C$5),INT(M12/規格門檻!$C$5)*INT(N12/規格門檻!$B$5)),IF(H12="","",MAX(0,INT((H12-規格門檻!$D$8)/規格門檻!$D$5))))</f>
        <v>0</v>
      </c>
      <c r="R12" s="18" t="n">
        <f aca="false">IF(AND(M12&lt;&gt;"",N12&lt;&gt;""),MAX(INT(M12/規格門檻!$B$6)*INT(N12/規格門檻!$C$6),INT(M12/規格門檻!$C$6)*INT(N12/規格門檻!$B$6)),IF(H12="","",MAX(0,INT((H12-規格門檻!$D$8)/規格門檻!$D$6))))</f>
        <v>0</v>
      </c>
      <c r="S12" s="19" t="str">
        <f aca="false">IF(H12="","資料不足：先問坪數",IF(P12="太低","不適合：淨高不夠",IF(H12&gt;=規格門檻!$D$12,"整棟太大：問能否分租約 "&amp;TEXT(規格門檻!$D$18,"0")&amp;" 坪",IF(Q12&gt;=2,"2 面排球（龍蝦規格）",IF(R12&gt;=2,"2 面排球（精簡）",IF(R12&gt;=1,"1 面排球＋複合式",IF(H12&gt;=規格門檻!$D$6,"勉強 1 面：公共區要很小","太小：放不下一面")))))))</f>
        <v>太小：放不下一面</v>
      </c>
      <c r="T12" s="25" t="str">
        <f aca="false">IF(E12="","待查",IF(ISNUMBER(SEARCH("農業",E12)),"農業區：先問建管能否變更",IF(ISNUMBER(SEARCH("工",E12)),"工業區：可申請變更，仍要問建管","依使用執照，要問建管")))</f>
        <v>農業區：先問建管能否變更</v>
      </c>
      <c r="U12" s="13" t="str">
        <f aca="false">IF(OR(J12="",H12&lt;規格門檻!$D$17),"",J12*規格門檻!$D$18)</f>
        <v/>
      </c>
      <c r="V12" s="20" t="n">
        <v>7.3</v>
      </c>
      <c r="W12" s="21" t="s">
        <v>52</v>
      </c>
      <c r="X12" s="19" t="s">
        <v>85</v>
      </c>
      <c r="Y12" s="22" t="s">
        <v>54</v>
      </c>
      <c r="Z12" s="23" t="s">
        <v>55</v>
      </c>
      <c r="AA12" s="24"/>
      <c r="AB12" s="24"/>
      <c r="AC12" s="24"/>
      <c r="AD12" s="24"/>
    </row>
    <row r="13" customFormat="false" ht="15" hidden="false" customHeight="false" outlineLevel="0" collapsed="false">
      <c r="A13" s="9" t="s">
        <v>69</v>
      </c>
      <c r="B13" s="10" t="s">
        <v>86</v>
      </c>
      <c r="C13" s="10" t="s">
        <v>48</v>
      </c>
      <c r="D13" s="10" t="s">
        <v>87</v>
      </c>
      <c r="E13" s="10"/>
      <c r="F13" s="10"/>
      <c r="G13" s="11"/>
      <c r="H13" s="12"/>
      <c r="I13" s="11"/>
      <c r="J13" s="13" t="str">
        <f aca="false">IF(OR(G13="",I13="",G13=0),"",I13/G13)</f>
        <v/>
      </c>
      <c r="K13" s="14" t="n">
        <v>7</v>
      </c>
      <c r="L13" s="15"/>
      <c r="M13" s="15"/>
      <c r="N13" s="15"/>
      <c r="O13" s="16" t="n">
        <f aca="false">IF(L13&lt;&gt;"",L13,IF(K13&lt;&gt;"",K13,""))</f>
        <v>7</v>
      </c>
      <c r="P13" s="17" t="str">
        <f aca="false">IF(O13="","待量",IF(O13&gt;=規格門檻!$D$10,"理想",IF(O13&gt;=規格門檻!$D$11,"可打","太低")))</f>
        <v>可打</v>
      </c>
      <c r="Q13" s="18" t="str">
        <f aca="false">IF(AND(M13&lt;&gt;"",N13&lt;&gt;""),MAX(INT(M13/規格門檻!$B$5)*INT(N13/規格門檻!$C$5),INT(M13/規格門檻!$C$5)*INT(N13/規格門檻!$B$5)),IF(H13="","",MAX(0,INT((H13-規格門檻!$D$8)/規格門檻!$D$5))))</f>
        <v/>
      </c>
      <c r="R13" s="18" t="str">
        <f aca="false">IF(AND(M13&lt;&gt;"",N13&lt;&gt;""),MAX(INT(M13/規格門檻!$B$6)*INT(N13/規格門檻!$C$6),INT(M13/規格門檻!$C$6)*INT(N13/規格門檻!$B$6)),IF(H13="","",MAX(0,INT((H13-規格門檻!$D$8)/規格門檻!$D$6))))</f>
        <v/>
      </c>
      <c r="S13" s="19" t="str">
        <f aca="false">IF(H13="","資料不足：先問坪數",IF(P13="太低","不適合：淨高不夠",IF(H13&gt;=規格門檻!$D$12,"整棟太大：問能否分租約 "&amp;TEXT(規格門檻!$D$18,"0")&amp;" 坪",IF(Q13&gt;=2,"2 面排球（龍蝦規格）",IF(R13&gt;=2,"2 面排球（精簡）",IF(R13&gt;=1,"1 面排球＋複合式",IF(H13&gt;=規格門檻!$D$6,"勉強 1 面：公共區要很小","太小：放不下一面")))))))</f>
        <v>資料不足：先問坪數</v>
      </c>
      <c r="T13" s="25" t="str">
        <f aca="false">IF(E13="","待查",IF(ISNUMBER(SEARCH("農業",E13)),"農業區：先問建管能否變更",IF(ISNUMBER(SEARCH("工",E13)),"工業區：可申請變更，仍要問建管","依使用執照，要問建管")))</f>
        <v>待查</v>
      </c>
      <c r="U13" s="13" t="str">
        <f aca="false">IF(OR(J13="",H13&lt;規格門檻!$D$17),"",J13*規格門檻!$D$18)</f>
        <v/>
      </c>
      <c r="V13" s="20" t="n">
        <v>3.9</v>
      </c>
      <c r="W13" s="21" t="s">
        <v>52</v>
      </c>
      <c r="X13" s="19" t="s">
        <v>88</v>
      </c>
      <c r="Y13" s="22" t="s">
        <v>54</v>
      </c>
      <c r="Z13" s="23" t="s">
        <v>55</v>
      </c>
      <c r="AA13" s="24"/>
      <c r="AB13" s="24"/>
      <c r="AC13" s="24"/>
      <c r="AD13" s="24"/>
    </row>
    <row r="14" customFormat="false" ht="15" hidden="false" customHeight="false" outlineLevel="0" collapsed="false">
      <c r="A14" s="9" t="s">
        <v>69</v>
      </c>
      <c r="B14" s="10" t="s">
        <v>89</v>
      </c>
      <c r="C14" s="10" t="s">
        <v>90</v>
      </c>
      <c r="D14" s="10"/>
      <c r="E14" s="10"/>
      <c r="F14" s="10"/>
      <c r="G14" s="11"/>
      <c r="H14" s="12"/>
      <c r="I14" s="11"/>
      <c r="J14" s="13" t="str">
        <f aca="false">IF(OR(G14="",I14="",G14=0),"",I14/G14)</f>
        <v/>
      </c>
      <c r="K14" s="14"/>
      <c r="L14" s="15"/>
      <c r="M14" s="15"/>
      <c r="N14" s="15"/>
      <c r="O14" s="16" t="str">
        <f aca="false">IF(L14&lt;&gt;"",L14,IF(K14&lt;&gt;"",K14,""))</f>
        <v/>
      </c>
      <c r="P14" s="17" t="str">
        <f aca="false">IF(O14="","待量",IF(O14&gt;=規格門檻!$D$10,"理想",IF(O14&gt;=規格門檻!$D$11,"可打","太低")))</f>
        <v>待量</v>
      </c>
      <c r="Q14" s="18" t="str">
        <f aca="false">IF(AND(M14&lt;&gt;"",N14&lt;&gt;""),MAX(INT(M14/規格門檻!$B$5)*INT(N14/規格門檻!$C$5),INT(M14/規格門檻!$C$5)*INT(N14/規格門檻!$B$5)),IF(H14="","",MAX(0,INT((H14-規格門檻!$D$8)/規格門檻!$D$5))))</f>
        <v/>
      </c>
      <c r="R14" s="18" t="str">
        <f aca="false">IF(AND(M14&lt;&gt;"",N14&lt;&gt;""),MAX(INT(M14/規格門檻!$B$6)*INT(N14/規格門檻!$C$6),INT(M14/規格門檻!$C$6)*INT(N14/規格門檻!$B$6)),IF(H14="","",MAX(0,INT((H14-規格門檻!$D$8)/規格門檻!$D$6))))</f>
        <v/>
      </c>
      <c r="S14" s="19" t="str">
        <f aca="false">IF(H14="","資料不足：先問坪數",IF(P14="太低","不適合：淨高不夠",IF(H14&gt;=規格門檻!$D$12,"整棟太大：問能否分租約 "&amp;TEXT(規格門檻!$D$18,"0")&amp;" 坪",IF(Q14&gt;=2,"2 面排球（龍蝦規格）",IF(R14&gt;=2,"2 面排球（精簡）",IF(R14&gt;=1,"1 面排球＋複合式",IF(H14&gt;=規格門檻!$D$6,"勉強 1 面：公共區要很小","太小：放不下一面")))))))</f>
        <v>資料不足：先問坪數</v>
      </c>
      <c r="T14" s="25" t="str">
        <f aca="false">IF(E14="","待查",IF(ISNUMBER(SEARCH("農業",E14)),"農業區：先問建管能否變更",IF(ISNUMBER(SEARCH("工",E14)),"工業區：可申請變更，仍要問建管","依使用執照，要問建管")))</f>
        <v>待查</v>
      </c>
      <c r="U14" s="13" t="str">
        <f aca="false">IF(OR(J14="",H14&lt;規格門檻!$D$17),"",J14*規格門檻!$D$18)</f>
        <v/>
      </c>
      <c r="V14" s="26" t="s">
        <v>91</v>
      </c>
      <c r="W14" s="25"/>
      <c r="X14" s="19" t="s">
        <v>92</v>
      </c>
      <c r="Y14" s="22" t="s">
        <v>54</v>
      </c>
      <c r="Z14" s="23" t="s">
        <v>55</v>
      </c>
      <c r="AA14" s="24"/>
      <c r="AB14" s="24"/>
      <c r="AC14" s="24"/>
      <c r="AD14" s="24"/>
    </row>
    <row r="15" customFormat="false" ht="29.85" hidden="false" customHeight="false" outlineLevel="0" collapsed="false">
      <c r="A15" s="9" t="s">
        <v>93</v>
      </c>
      <c r="B15" s="10" t="s">
        <v>94</v>
      </c>
      <c r="C15" s="10" t="s">
        <v>63</v>
      </c>
      <c r="D15" s="10" t="s">
        <v>64</v>
      </c>
      <c r="E15" s="10"/>
      <c r="F15" s="10" t="s">
        <v>51</v>
      </c>
      <c r="G15" s="11" t="n">
        <v>700</v>
      </c>
      <c r="H15" s="12" t="n">
        <v>700</v>
      </c>
      <c r="I15" s="11" t="n">
        <v>285000</v>
      </c>
      <c r="J15" s="13" t="n">
        <f aca="false">IF(OR(G15="",I15="",G15=0),"",I15/G15)</f>
        <v>407.142857142857</v>
      </c>
      <c r="K15" s="14"/>
      <c r="L15" s="15"/>
      <c r="M15" s="15"/>
      <c r="N15" s="15"/>
      <c r="O15" s="16" t="str">
        <f aca="false">IF(L15&lt;&gt;"",L15,IF(K15&lt;&gt;"",K15,""))</f>
        <v/>
      </c>
      <c r="P15" s="17" t="str">
        <f aca="false">IF(O15="","待量",IF(O15&gt;=規格門檻!$D$10,"理想",IF(O15&gt;=規格門檻!$D$11,"可打","太低")))</f>
        <v>待量</v>
      </c>
      <c r="Q15" s="18" t="n">
        <f aca="false">IF(AND(M15&lt;&gt;"",N15&lt;&gt;""),MAX(INT(M15/規格門檻!$B$5)*INT(N15/規格門檻!$C$5),INT(M15/規格門檻!$C$5)*INT(N15/規格門檻!$B$5)),IF(H15="","",MAX(0,INT((H15-規格門檻!$D$8)/規格門檻!$D$5))))</f>
        <v>4</v>
      </c>
      <c r="R15" s="18" t="n">
        <f aca="false">IF(AND(M15&lt;&gt;"",N15&lt;&gt;""),MAX(INT(M15/規格門檻!$B$6)*INT(N15/規格門檻!$C$6),INT(M15/規格門檻!$C$6)*INT(N15/規格門檻!$B$6)),IF(H15="","",MAX(0,INT((H15-規格門檻!$D$8)/規格門檻!$D$6))))</f>
        <v>6</v>
      </c>
      <c r="S15" s="19" t="str">
        <f aca="false">IF(H15="","資料不足：先問坪數",IF(P15="太低","不適合：淨高不夠",IF(H15&gt;=規格門檻!$D$12,"整棟太大：問能否分租約 "&amp;TEXT(規格門檻!$D$18,"0")&amp;" 坪",IF(Q15&gt;=2,"2 面排球（龍蝦規格）",IF(R15&gt;=2,"2 面排球（精簡）",IF(R15&gt;=1,"1 面排球＋複合式",IF(H15&gt;=規格門檻!$D$6,"勉強 1 面：公共區要很小","太小：放不下一面")))))))</f>
        <v>整棟太大：問能否分租約 312 坪</v>
      </c>
      <c r="T15" s="25" t="str">
        <f aca="false">IF(E15="","待查",IF(ISNUMBER(SEARCH("農業",E15)),"農業區：先問建管能否變更",IF(ISNUMBER(SEARCH("工",E15)),"工業區：可申請變更，仍要問建管","依使用執照，要問建管")))</f>
        <v>待查</v>
      </c>
      <c r="U15" s="13" t="n">
        <f aca="false">IF(OR(J15="",H15&lt;規格門檻!$D$17),"",J15*規格門檻!$D$18)</f>
        <v>127129.858344209</v>
      </c>
      <c r="V15" s="20" t="n">
        <v>7.6</v>
      </c>
      <c r="W15" s="21" t="s">
        <v>66</v>
      </c>
      <c r="X15" s="19" t="s">
        <v>95</v>
      </c>
      <c r="Y15" s="10" t="s">
        <v>81</v>
      </c>
      <c r="Z15" s="23" t="s">
        <v>55</v>
      </c>
      <c r="AA15" s="24"/>
      <c r="AB15" s="24"/>
      <c r="AC15" s="24"/>
      <c r="AD15" s="24"/>
    </row>
    <row r="16" customFormat="false" ht="15" hidden="false" customHeight="false" outlineLevel="0" collapsed="false">
      <c r="A16" s="9" t="s">
        <v>93</v>
      </c>
      <c r="B16" s="10" t="s">
        <v>96</v>
      </c>
      <c r="C16" s="10" t="s">
        <v>63</v>
      </c>
      <c r="D16" s="10" t="s">
        <v>78</v>
      </c>
      <c r="E16" s="10"/>
      <c r="F16" s="10" t="s">
        <v>97</v>
      </c>
      <c r="G16" s="11" t="n">
        <v>300</v>
      </c>
      <c r="H16" s="12" t="n">
        <v>0</v>
      </c>
      <c r="I16" s="11" t="n">
        <v>150000</v>
      </c>
      <c r="J16" s="13" t="n">
        <f aca="false">IF(OR(G16="",I16="",G16=0),"",I16/G16)</f>
        <v>500</v>
      </c>
      <c r="K16" s="14"/>
      <c r="L16" s="15"/>
      <c r="M16" s="15"/>
      <c r="N16" s="15"/>
      <c r="O16" s="16" t="str">
        <f aca="false">IF(L16&lt;&gt;"",L16,IF(K16&lt;&gt;"",K16,""))</f>
        <v/>
      </c>
      <c r="P16" s="17" t="str">
        <f aca="false">IF(O16="","待量",IF(O16&gt;=規格門檻!$D$10,"理想",IF(O16&gt;=規格門檻!$D$11,"可打","太低")))</f>
        <v>待量</v>
      </c>
      <c r="Q16" s="18" t="n">
        <f aca="false">IF(AND(M16&lt;&gt;"",N16&lt;&gt;""),MAX(INT(M16/規格門檻!$B$5)*INT(N16/規格門檻!$C$5),INT(M16/規格門檻!$C$5)*INT(N16/規格門檻!$B$5)),IF(H16="","",MAX(0,INT((H16-規格門檻!$D$8)/規格門檻!$D$5))))</f>
        <v>0</v>
      </c>
      <c r="R16" s="18" t="n">
        <f aca="false">IF(AND(M16&lt;&gt;"",N16&lt;&gt;""),MAX(INT(M16/規格門檻!$B$6)*INT(N16/規格門檻!$C$6),INT(M16/規格門檻!$C$6)*INT(N16/規格門檻!$B$6)),IF(H16="","",MAX(0,INT((H16-規格門檻!$D$8)/規格門檻!$D$6))))</f>
        <v>0</v>
      </c>
      <c r="S16" s="19" t="str">
        <f aca="false">IF(H16="","資料不足：先問坪數",IF(P16="太低","不適合：淨高不夠",IF(H16&gt;=規格門檻!$D$12,"整棟太大：問能否分租約 "&amp;TEXT(規格門檻!$D$18,"0")&amp;" 坪",IF(Q16&gt;=2,"2 面排球（龍蝦規格）",IF(R16&gt;=2,"2 面排球（精簡）",IF(R16&gt;=1,"1 面排球＋複合式",IF(H16&gt;=規格門檻!$D$6,"勉強 1 面：公共區要很小","太小：放不下一面")))))))</f>
        <v>太小：放不下一面</v>
      </c>
      <c r="T16" s="25" t="str">
        <f aca="false">IF(E16="","待查",IF(ISNUMBER(SEARCH("農業",E16)),"農業區：先問建管能否變更",IF(ISNUMBER(SEARCH("工",E16)),"工業區：可申請變更，仍要問建管","依使用執照，要問建管")))</f>
        <v>待查</v>
      </c>
      <c r="U16" s="13" t="str">
        <f aca="false">IF(OR(J16="",H16&lt;規格門檻!$D$17),"",J16*規格門檻!$D$18)</f>
        <v/>
      </c>
      <c r="V16" s="20" t="n">
        <v>0.8</v>
      </c>
      <c r="W16" s="21" t="s">
        <v>66</v>
      </c>
      <c r="X16" s="19" t="s">
        <v>98</v>
      </c>
      <c r="Y16" s="10" t="s">
        <v>81</v>
      </c>
      <c r="Z16" s="23" t="s">
        <v>55</v>
      </c>
      <c r="AA16" s="24"/>
      <c r="AB16" s="24"/>
      <c r="AC16" s="24"/>
      <c r="AD16" s="24"/>
    </row>
    <row r="17" customFormat="false" ht="29.85" hidden="false" customHeight="false" outlineLevel="0" collapsed="false">
      <c r="A17" s="9" t="s">
        <v>93</v>
      </c>
      <c r="B17" s="10" t="s">
        <v>99</v>
      </c>
      <c r="C17" s="10" t="s">
        <v>100</v>
      </c>
      <c r="D17" s="10" t="s">
        <v>101</v>
      </c>
      <c r="E17" s="10" t="s">
        <v>102</v>
      </c>
      <c r="F17" s="10" t="s">
        <v>103</v>
      </c>
      <c r="G17" s="11" t="n">
        <v>1310</v>
      </c>
      <c r="H17" s="12" t="n">
        <v>655</v>
      </c>
      <c r="I17" s="11" t="n">
        <v>260000</v>
      </c>
      <c r="J17" s="13" t="n">
        <f aca="false">IF(OR(G17="",I17="",G17=0),"",I17/G17)</f>
        <v>198.473282442748</v>
      </c>
      <c r="K17" s="14"/>
      <c r="L17" s="15"/>
      <c r="M17" s="15"/>
      <c r="N17" s="15"/>
      <c r="O17" s="16" t="str">
        <f aca="false">IF(L17&lt;&gt;"",L17,IF(K17&lt;&gt;"",K17,""))</f>
        <v/>
      </c>
      <c r="P17" s="17" t="str">
        <f aca="false">IF(O17="","待量",IF(O17&gt;=規格門檻!$D$10,"理想",IF(O17&gt;=規格門檻!$D$11,"可打","太低")))</f>
        <v>待量</v>
      </c>
      <c r="Q17" s="18" t="n">
        <f aca="false">IF(AND(M17&lt;&gt;"",N17&lt;&gt;""),MAX(INT(M17/規格門檻!$B$5)*INT(N17/規格門檻!$C$5),INT(M17/規格門檻!$C$5)*INT(N17/規格門檻!$B$5)),IF(H17="","",MAX(0,INT((H17-規格門檻!$D$8)/規格門檻!$D$5))))</f>
        <v>4</v>
      </c>
      <c r="R17" s="18" t="n">
        <f aca="false">IF(AND(M17&lt;&gt;"",N17&lt;&gt;""),MAX(INT(M17/規格門檻!$B$6)*INT(N17/規格門檻!$C$6),INT(M17/規格門檻!$C$6)*INT(N17/規格門檻!$B$6)),IF(H17="","",MAX(0,INT((H17-規格門檻!$D$8)/規格門檻!$D$6))))</f>
        <v>5</v>
      </c>
      <c r="S17" s="19" t="str">
        <f aca="false">IF(H17="","資料不足：先問坪數",IF(P17="太低","不適合：淨高不夠",IF(H17&gt;=規格門檻!$D$12,"整棟太大：問能否分租約 "&amp;TEXT(規格門檻!$D$18,"0")&amp;" 坪",IF(Q17&gt;=2,"2 面排球（龍蝦規格）",IF(R17&gt;=2,"2 面排球（精簡）",IF(R17&gt;=1,"1 面排球＋複合式",IF(H17&gt;=規格門檻!$D$6,"勉強 1 面：公共區要很小","太小：放不下一面")))))))</f>
        <v>整棟太大：問能否分租約 312 坪</v>
      </c>
      <c r="T17" s="25" t="str">
        <f aca="false">IF(E17="","待查",IF(ISNUMBER(SEARCH("農業",E17)),"農業區：先問建管能否變更",IF(ISNUMBER(SEARCH("工",E17)),"工業區：可申請變更，仍要問建管","依使用執照，要問建管")))</f>
        <v>工業區：可申請變更，仍要問建管</v>
      </c>
      <c r="U17" s="13" t="n">
        <f aca="false">IF(OR(J17="",H17&lt;規格門檻!$D$17),"",J17*規格門檻!$D$18)</f>
        <v>61973.0392892621</v>
      </c>
      <c r="V17" s="20" t="n">
        <v>6.6</v>
      </c>
      <c r="W17" s="21" t="s">
        <v>52</v>
      </c>
      <c r="X17" s="19" t="s">
        <v>104</v>
      </c>
      <c r="Y17" s="22" t="s">
        <v>54</v>
      </c>
      <c r="Z17" s="23" t="s">
        <v>55</v>
      </c>
      <c r="AA17" s="24"/>
      <c r="AB17" s="24"/>
      <c r="AC17" s="24"/>
      <c r="AD17" s="24"/>
    </row>
    <row r="18" customFormat="false" ht="29.85" hidden="false" customHeight="false" outlineLevel="0" collapsed="false">
      <c r="A18" s="9" t="s">
        <v>93</v>
      </c>
      <c r="B18" s="10" t="s">
        <v>105</v>
      </c>
      <c r="C18" s="10" t="s">
        <v>100</v>
      </c>
      <c r="D18" s="10" t="s">
        <v>106</v>
      </c>
      <c r="E18" s="10" t="s">
        <v>50</v>
      </c>
      <c r="F18" s="10" t="s">
        <v>107</v>
      </c>
      <c r="G18" s="11" t="n">
        <v>5880</v>
      </c>
      <c r="H18" s="12" t="n">
        <v>1960</v>
      </c>
      <c r="I18" s="11" t="n">
        <v>4410000</v>
      </c>
      <c r="J18" s="13" t="n">
        <f aca="false">IF(OR(G18="",I18="",G18=0),"",I18/G18)</f>
        <v>750</v>
      </c>
      <c r="K18" s="14"/>
      <c r="L18" s="15"/>
      <c r="M18" s="15"/>
      <c r="N18" s="15"/>
      <c r="O18" s="16" t="str">
        <f aca="false">IF(L18&lt;&gt;"",L18,IF(K18&lt;&gt;"",K18,""))</f>
        <v/>
      </c>
      <c r="P18" s="17" t="str">
        <f aca="false">IF(O18="","待量",IF(O18&gt;=規格門檻!$D$10,"理想",IF(O18&gt;=規格門檻!$D$11,"可打","太低")))</f>
        <v>待量</v>
      </c>
      <c r="Q18" s="18" t="n">
        <f aca="false">IF(AND(M18&lt;&gt;"",N18&lt;&gt;""),MAX(INT(M18/規格門檻!$B$5)*INT(N18/規格門檻!$C$5),INT(M18/規格門檻!$C$5)*INT(N18/規格門檻!$B$5)),IF(H18="","",MAX(0,INT((H18-規格門檻!$D$8)/規格門檻!$D$5))))</f>
        <v>14</v>
      </c>
      <c r="R18" s="18" t="n">
        <f aca="false">IF(AND(M18&lt;&gt;"",N18&lt;&gt;""),MAX(INT(M18/規格門檻!$B$6)*INT(N18/規格門檻!$C$6),INT(M18/規格門檻!$C$6)*INT(N18/規格門檻!$B$6)),IF(H18="","",MAX(0,INT((H18-規格門檻!$D$8)/規格門檻!$D$6))))</f>
        <v>17</v>
      </c>
      <c r="S18" s="19" t="str">
        <f aca="false">IF(H18="","資料不足：先問坪數",IF(P18="太低","不適合：淨高不夠",IF(H18&gt;=規格門檻!$D$12,"整棟太大：問能否分租約 "&amp;TEXT(規格門檻!$D$18,"0")&amp;" 坪",IF(Q18&gt;=2,"2 面排球（龍蝦規格）",IF(R18&gt;=2,"2 面排球（精簡）",IF(R18&gt;=1,"1 面排球＋複合式",IF(H18&gt;=規格門檻!$D$6,"勉強 1 面：公共區要很小","太小：放不下一面")))))))</f>
        <v>整棟太大：問能否分租約 312 坪</v>
      </c>
      <c r="T18" s="25" t="str">
        <f aca="false">IF(E18="","待查",IF(ISNUMBER(SEARCH("農業",E18)),"農業區：先問建管能否變更",IF(ISNUMBER(SEARCH("工",E18)),"工業區：可申請變更，仍要問建管","依使用執照，要問建管")))</f>
        <v>工業區：可申請變更，仍要問建管</v>
      </c>
      <c r="U18" s="13" t="n">
        <f aca="false">IF(OR(J18="",H18&lt;規格門檻!$D$17),"",J18*規格門檻!$D$18)</f>
        <v>234186.581160385</v>
      </c>
      <c r="V18" s="20" t="n">
        <v>10.4</v>
      </c>
      <c r="W18" s="21" t="s">
        <v>52</v>
      </c>
      <c r="X18" s="19" t="s">
        <v>108</v>
      </c>
      <c r="Y18" s="22" t="s">
        <v>54</v>
      </c>
      <c r="Z18" s="23" t="s">
        <v>55</v>
      </c>
      <c r="AA18" s="24"/>
      <c r="AB18" s="24"/>
      <c r="AC18" s="24"/>
      <c r="AD18" s="24"/>
    </row>
    <row r="19" customFormat="false" ht="15" hidden="false" customHeight="false" outlineLevel="0" collapsed="false">
      <c r="A19" s="9" t="s">
        <v>93</v>
      </c>
      <c r="B19" s="10" t="s">
        <v>109</v>
      </c>
      <c r="C19" s="10" t="s">
        <v>100</v>
      </c>
      <c r="D19" s="10" t="s">
        <v>110</v>
      </c>
      <c r="E19" s="10"/>
      <c r="F19" s="22" t="s">
        <v>111</v>
      </c>
      <c r="G19" s="11" t="n">
        <v>65</v>
      </c>
      <c r="H19" s="12" t="n">
        <v>65</v>
      </c>
      <c r="I19" s="11" t="n">
        <v>36500</v>
      </c>
      <c r="J19" s="13" t="n">
        <f aca="false">IF(OR(G19="",I19="",G19=0),"",I19/G19)</f>
        <v>561.538461538462</v>
      </c>
      <c r="K19" s="14" t="n">
        <v>7</v>
      </c>
      <c r="L19" s="15"/>
      <c r="M19" s="15"/>
      <c r="N19" s="15"/>
      <c r="O19" s="16" t="n">
        <f aca="false">IF(L19&lt;&gt;"",L19,IF(K19&lt;&gt;"",K19,""))</f>
        <v>7</v>
      </c>
      <c r="P19" s="17" t="str">
        <f aca="false">IF(O19="","待量",IF(O19&gt;=規格門檻!$D$10,"理想",IF(O19&gt;=規格門檻!$D$11,"可打","太低")))</f>
        <v>可打</v>
      </c>
      <c r="Q19" s="18" t="n">
        <f aca="false">IF(AND(M19&lt;&gt;"",N19&lt;&gt;""),MAX(INT(M19/規格門檻!$B$5)*INT(N19/規格門檻!$C$5),INT(M19/規格門檻!$C$5)*INT(N19/規格門檻!$B$5)),IF(H19="","",MAX(0,INT((H19-規格門檻!$D$8)/規格門檻!$D$5))))</f>
        <v>0</v>
      </c>
      <c r="R19" s="18" t="n">
        <f aca="false">IF(AND(M19&lt;&gt;"",N19&lt;&gt;""),MAX(INT(M19/規格門檻!$B$6)*INT(N19/規格門檻!$C$6),INT(M19/規格門檻!$C$6)*INT(N19/規格門檻!$B$6)),IF(H19="","",MAX(0,INT((H19-規格門檻!$D$8)/規格門檻!$D$6))))</f>
        <v>0</v>
      </c>
      <c r="S19" s="19" t="str">
        <f aca="false">IF(H19="","資料不足：先問坪數",IF(P19="太低","不適合：淨高不夠",IF(H19&gt;=規格門檻!$D$12,"整棟太大：問能否分租約 "&amp;TEXT(規格門檻!$D$18,"0")&amp;" 坪",IF(Q19&gt;=2,"2 面排球（龍蝦規格）",IF(R19&gt;=2,"2 面排球（精簡）",IF(R19&gt;=1,"1 面排球＋複合式",IF(H19&gt;=規格門檻!$D$6,"勉強 1 面：公共區要很小","太小：放不下一面")))))))</f>
        <v>太小：放不下一面</v>
      </c>
      <c r="T19" s="25" t="str">
        <f aca="false">IF(E19="","待查",IF(ISNUMBER(SEARCH("農業",E19)),"農業區：先問建管能否變更",IF(ISNUMBER(SEARCH("工",E19)),"工業區：可申請變更，仍要問建管","依使用執照，要問建管")))</f>
        <v>待查</v>
      </c>
      <c r="U19" s="13" t="str">
        <f aca="false">IF(OR(J19="",H19&lt;規格門檻!$D$17),"",J19*規格門檻!$D$18)</f>
        <v/>
      </c>
      <c r="V19" s="20" t="n">
        <v>5.9</v>
      </c>
      <c r="W19" s="21" t="s">
        <v>52</v>
      </c>
      <c r="X19" s="19" t="s">
        <v>112</v>
      </c>
      <c r="Y19" s="10" t="s">
        <v>113</v>
      </c>
      <c r="Z19" s="23" t="s">
        <v>55</v>
      </c>
      <c r="AA19" s="24"/>
      <c r="AB19" s="24"/>
      <c r="AC19" s="24"/>
      <c r="AD19" s="24"/>
    </row>
    <row r="20" customFormat="false" ht="29.85" hidden="false" customHeight="false" outlineLevel="0" collapsed="false">
      <c r="A20" s="9" t="s">
        <v>93</v>
      </c>
      <c r="B20" s="10" t="s">
        <v>114</v>
      </c>
      <c r="C20" s="10" t="s">
        <v>48</v>
      </c>
      <c r="D20" s="10" t="s">
        <v>115</v>
      </c>
      <c r="E20" s="10" t="s">
        <v>116</v>
      </c>
      <c r="F20" s="22" t="s">
        <v>117</v>
      </c>
      <c r="G20" s="11" t="n">
        <v>133</v>
      </c>
      <c r="H20" s="12" t="n">
        <v>44</v>
      </c>
      <c r="I20" s="11" t="n">
        <v>98000</v>
      </c>
      <c r="J20" s="13" t="n">
        <f aca="false">IF(OR(G20="",I20="",G20=0),"",I20/G20)</f>
        <v>736.842105263158</v>
      </c>
      <c r="K20" s="14"/>
      <c r="L20" s="15"/>
      <c r="M20" s="15"/>
      <c r="N20" s="15"/>
      <c r="O20" s="16" t="str">
        <f aca="false">IF(L20&lt;&gt;"",L20,IF(K20&lt;&gt;"",K20,""))</f>
        <v/>
      </c>
      <c r="P20" s="17" t="str">
        <f aca="false">IF(O20="","待量",IF(O20&gt;=規格門檻!$D$10,"理想",IF(O20&gt;=規格門檻!$D$11,"可打","太低")))</f>
        <v>待量</v>
      </c>
      <c r="Q20" s="18" t="n">
        <f aca="false">IF(AND(M20&lt;&gt;"",N20&lt;&gt;""),MAX(INT(M20/規格門檻!$B$5)*INT(N20/規格門檻!$C$5),INT(M20/規格門檻!$C$5)*INT(N20/規格門檻!$B$5)),IF(H20="","",MAX(0,INT((H20-規格門檻!$D$8)/規格門檻!$D$5))))</f>
        <v>0</v>
      </c>
      <c r="R20" s="18" t="n">
        <f aca="false">IF(AND(M20&lt;&gt;"",N20&lt;&gt;""),MAX(INT(M20/規格門檻!$B$6)*INT(N20/規格門檻!$C$6),INT(M20/規格門檻!$C$6)*INT(N20/規格門檻!$B$6)),IF(H20="","",MAX(0,INT((H20-規格門檻!$D$8)/規格門檻!$D$6))))</f>
        <v>0</v>
      </c>
      <c r="S20" s="19" t="str">
        <f aca="false">IF(H20="","資料不足：先問坪數",IF(P20="太低","不適合：淨高不夠",IF(H20&gt;=規格門檻!$D$12,"整棟太大：問能否分租約 "&amp;TEXT(規格門檻!$D$18,"0")&amp;" 坪",IF(Q20&gt;=2,"2 面排球（龍蝦規格）",IF(R20&gt;=2,"2 面排球（精簡）",IF(R20&gt;=1,"1 面排球＋複合式",IF(H20&gt;=規格門檻!$D$6,"勉強 1 面：公共區要很小","太小：放不下一面")))))))</f>
        <v>太小：放不下一面</v>
      </c>
      <c r="T20" s="25" t="str">
        <f aca="false">IF(E20="","待查",IF(ISNUMBER(SEARCH("農業",E20)),"農業區：先問建管能否變更",IF(ISNUMBER(SEARCH("工",E20)),"工業區：可申請變更，仍要問建管","依使用執照，要問建管")))</f>
        <v>工業區：可申請變更，仍要問建管</v>
      </c>
      <c r="U20" s="13" t="str">
        <f aca="false">IF(OR(J20="",H20&lt;規格門檻!$D$17),"",J20*規格門檻!$D$18)</f>
        <v/>
      </c>
      <c r="V20" s="20" t="n">
        <v>6.8</v>
      </c>
      <c r="W20" s="21" t="s">
        <v>52</v>
      </c>
      <c r="X20" s="19" t="s">
        <v>118</v>
      </c>
      <c r="Y20" s="10" t="s">
        <v>119</v>
      </c>
      <c r="Z20" s="23" t="s">
        <v>55</v>
      </c>
      <c r="AA20" s="24"/>
      <c r="AB20" s="24"/>
      <c r="AC20" s="24"/>
      <c r="AD20" s="24"/>
    </row>
    <row r="21" customFormat="false" ht="15" hidden="false" customHeight="false" outlineLevel="0" collapsed="false">
      <c r="A21" s="9" t="s">
        <v>93</v>
      </c>
      <c r="B21" s="10" t="s">
        <v>120</v>
      </c>
      <c r="C21" s="10" t="s">
        <v>48</v>
      </c>
      <c r="D21" s="10" t="s">
        <v>121</v>
      </c>
      <c r="E21" s="10"/>
      <c r="F21" s="10" t="s">
        <v>107</v>
      </c>
      <c r="G21" s="11" t="n">
        <v>180</v>
      </c>
      <c r="H21" s="12" t="n">
        <v>60</v>
      </c>
      <c r="I21" s="11" t="n">
        <v>120000</v>
      </c>
      <c r="J21" s="13" t="n">
        <f aca="false">IF(OR(G21="",I21="",G21=0),"",I21/G21)</f>
        <v>666.666666666667</v>
      </c>
      <c r="K21" s="14"/>
      <c r="L21" s="15"/>
      <c r="M21" s="15"/>
      <c r="N21" s="15"/>
      <c r="O21" s="16" t="str">
        <f aca="false">IF(L21&lt;&gt;"",L21,IF(K21&lt;&gt;"",K21,""))</f>
        <v/>
      </c>
      <c r="P21" s="17" t="str">
        <f aca="false">IF(O21="","待量",IF(O21&gt;=規格門檻!$D$10,"理想",IF(O21&gt;=規格門檻!$D$11,"可打","太低")))</f>
        <v>待量</v>
      </c>
      <c r="Q21" s="18" t="n">
        <f aca="false">IF(AND(M21&lt;&gt;"",N21&lt;&gt;""),MAX(INT(M21/規格門檻!$B$5)*INT(N21/規格門檻!$C$5),INT(M21/規格門檻!$C$5)*INT(N21/規格門檻!$B$5)),IF(H21="","",MAX(0,INT((H21-規格門檻!$D$8)/規格門檻!$D$5))))</f>
        <v>0</v>
      </c>
      <c r="R21" s="18" t="n">
        <f aca="false">IF(AND(M21&lt;&gt;"",N21&lt;&gt;""),MAX(INT(M21/規格門檻!$B$6)*INT(N21/規格門檻!$C$6),INT(M21/規格門檻!$C$6)*INT(N21/規格門檻!$B$6)),IF(H21="","",MAX(0,INT((H21-規格門檻!$D$8)/規格門檻!$D$6))))</f>
        <v>0</v>
      </c>
      <c r="S21" s="19" t="str">
        <f aca="false">IF(H21="","資料不足：先問坪數",IF(P21="太低","不適合：淨高不夠",IF(H21&gt;=規格門檻!$D$12,"整棟太大：問能否分租約 "&amp;TEXT(規格門檻!$D$18,"0")&amp;" 坪",IF(Q21&gt;=2,"2 面排球（龍蝦規格）",IF(R21&gt;=2,"2 面排球（精簡）",IF(R21&gt;=1,"1 面排球＋複合式",IF(H21&gt;=規格門檻!$D$6,"勉強 1 面：公共區要很小","太小：放不下一面")))))))</f>
        <v>太小：放不下一面</v>
      </c>
      <c r="T21" s="25" t="str">
        <f aca="false">IF(E21="","待查",IF(ISNUMBER(SEARCH("農業",E21)),"農業區：先問建管能否變更",IF(ISNUMBER(SEARCH("工",E21)),"工業區：可申請變更，仍要問建管","依使用執照，要問建管")))</f>
        <v>待查</v>
      </c>
      <c r="U21" s="13" t="str">
        <f aca="false">IF(OR(J21="",H21&lt;規格門檻!$D$17),"",J21*規格門檻!$D$18)</f>
        <v/>
      </c>
      <c r="V21" s="20" t="n">
        <v>1.8</v>
      </c>
      <c r="W21" s="21" t="s">
        <v>52</v>
      </c>
      <c r="X21" s="19" t="s">
        <v>118</v>
      </c>
      <c r="Y21" s="22" t="s">
        <v>54</v>
      </c>
      <c r="Z21" s="23" t="s">
        <v>55</v>
      </c>
      <c r="AA21" s="24"/>
      <c r="AB21" s="24"/>
      <c r="AC21" s="24"/>
      <c r="AD21" s="24"/>
    </row>
    <row r="22" customFormat="false" ht="15" hidden="false" customHeight="false" outlineLevel="0" collapsed="false">
      <c r="A22" s="9" t="s">
        <v>93</v>
      </c>
      <c r="B22" s="10" t="s">
        <v>122</v>
      </c>
      <c r="C22" s="10" t="s">
        <v>48</v>
      </c>
      <c r="D22" s="10" t="s">
        <v>123</v>
      </c>
      <c r="E22" s="10" t="s">
        <v>72</v>
      </c>
      <c r="F22" s="10" t="s">
        <v>51</v>
      </c>
      <c r="G22" s="11" t="n">
        <v>45</v>
      </c>
      <c r="H22" s="12" t="n">
        <v>45</v>
      </c>
      <c r="I22" s="11" t="n">
        <v>40000</v>
      </c>
      <c r="J22" s="13" t="n">
        <f aca="false">IF(OR(G22="",I22="",G22=0),"",I22/G22)</f>
        <v>888.888888888889</v>
      </c>
      <c r="K22" s="14"/>
      <c r="L22" s="15"/>
      <c r="M22" s="15"/>
      <c r="N22" s="15"/>
      <c r="O22" s="16" t="str">
        <f aca="false">IF(L22&lt;&gt;"",L22,IF(K22&lt;&gt;"",K22,""))</f>
        <v/>
      </c>
      <c r="P22" s="17" t="str">
        <f aca="false">IF(O22="","待量",IF(O22&gt;=規格門檻!$D$10,"理想",IF(O22&gt;=規格門檻!$D$11,"可打","太低")))</f>
        <v>待量</v>
      </c>
      <c r="Q22" s="18" t="n">
        <f aca="false">IF(AND(M22&lt;&gt;"",N22&lt;&gt;""),MAX(INT(M22/規格門檻!$B$5)*INT(N22/規格門檻!$C$5),INT(M22/規格門檻!$C$5)*INT(N22/規格門檻!$B$5)),IF(H22="","",MAX(0,INT((H22-規格門檻!$D$8)/規格門檻!$D$5))))</f>
        <v>0</v>
      </c>
      <c r="R22" s="18" t="n">
        <f aca="false">IF(AND(M22&lt;&gt;"",N22&lt;&gt;""),MAX(INT(M22/規格門檻!$B$6)*INT(N22/規格門檻!$C$6),INT(M22/規格門檻!$C$6)*INT(N22/規格門檻!$B$6)),IF(H22="","",MAX(0,INT((H22-規格門檻!$D$8)/規格門檻!$D$6))))</f>
        <v>0</v>
      </c>
      <c r="S22" s="19" t="str">
        <f aca="false">IF(H22="","資料不足：先問坪數",IF(P22="太低","不適合：淨高不夠",IF(H22&gt;=規格門檻!$D$12,"整棟太大：問能否分租約 "&amp;TEXT(規格門檻!$D$18,"0")&amp;" 坪",IF(Q22&gt;=2,"2 面排球（龍蝦規格）",IF(R22&gt;=2,"2 面排球（精簡）",IF(R22&gt;=1,"1 面排球＋複合式",IF(H22&gt;=規格門檻!$D$6,"勉強 1 面：公共區要很小","太小：放不下一面")))))))</f>
        <v>太小：放不下一面</v>
      </c>
      <c r="T22" s="25" t="str">
        <f aca="false">IF(E22="","待查",IF(ISNUMBER(SEARCH("農業",E22)),"農業區：先問建管能否變更",IF(ISNUMBER(SEARCH("工",E22)),"工業區：可申請變更，仍要問建管","依使用執照，要問建管")))</f>
        <v>農業區：先問建管能否變更</v>
      </c>
      <c r="U22" s="13" t="str">
        <f aca="false">IF(OR(J22="",H22&lt;規格門檻!$D$17),"",J22*規格門檻!$D$18)</f>
        <v/>
      </c>
      <c r="V22" s="20" t="n">
        <v>3.1</v>
      </c>
      <c r="W22" s="21" t="s">
        <v>124</v>
      </c>
      <c r="X22" s="19" t="s">
        <v>125</v>
      </c>
      <c r="Y22" s="22" t="s">
        <v>54</v>
      </c>
      <c r="Z22" s="23" t="s">
        <v>55</v>
      </c>
      <c r="AA22" s="24"/>
      <c r="AB22" s="24"/>
      <c r="AC22" s="24"/>
      <c r="AD22" s="24"/>
    </row>
    <row r="23" customFormat="false" ht="15" hidden="false" customHeight="false" outlineLevel="0" collapsed="false">
      <c r="A23" s="27" t="s">
        <v>126</v>
      </c>
      <c r="B23" s="28" t="s">
        <v>127</v>
      </c>
      <c r="C23" s="28" t="s">
        <v>128</v>
      </c>
      <c r="D23" s="28" t="s">
        <v>129</v>
      </c>
      <c r="E23" s="28"/>
      <c r="F23" s="28"/>
      <c r="G23" s="29" t="n">
        <v>158</v>
      </c>
      <c r="H23" s="12" t="n">
        <v>131</v>
      </c>
      <c r="I23" s="29" t="n">
        <v>79000</v>
      </c>
      <c r="J23" s="30" t="n">
        <f aca="false">IF(OR(G23="",I23="",G23=0),"",I23/G23)</f>
        <v>500</v>
      </c>
      <c r="K23" s="31" t="n">
        <v>7</v>
      </c>
      <c r="L23" s="15"/>
      <c r="M23" s="15"/>
      <c r="N23" s="15"/>
      <c r="O23" s="32" t="n">
        <f aca="false">IF(L23&lt;&gt;"",L23,IF(K23&lt;&gt;"",K23,""))</f>
        <v>7</v>
      </c>
      <c r="P23" s="33" t="str">
        <f aca="false">IF(O23="","待量",IF(O23&gt;=規格門檻!$D$10,"理想",IF(O23&gt;=規格門檻!$D$11,"可打","太低")))</f>
        <v>可打</v>
      </c>
      <c r="Q23" s="34" t="n">
        <f aca="false">IF(AND(M23&lt;&gt;"",N23&lt;&gt;""),MAX(INT(M23/規格門檻!$B$5)*INT(N23/規格門檻!$C$5),INT(M23/規格門檻!$C$5)*INT(N23/規格門檻!$B$5)),IF(H23="","",MAX(0,INT((H23-規格門檻!$D$8)/規格門檻!$D$5))))</f>
        <v>0</v>
      </c>
      <c r="R23" s="34" t="n">
        <f aca="false">IF(AND(M23&lt;&gt;"",N23&lt;&gt;""),MAX(INT(M23/規格門檻!$B$6)*INT(N23/規格門檻!$C$6),INT(M23/規格門檻!$C$6)*INT(N23/規格門檻!$B$6)),IF(H23="","",MAX(0,INT((H23-規格門檻!$D$8)/規格門檻!$D$6))))</f>
        <v>0</v>
      </c>
      <c r="S23" s="35" t="str">
        <f aca="false">IF(H23="","資料不足：先問坪數",IF(P23="太低","不適合：淨高不夠",IF(H23&gt;=規格門檻!$D$12,"整棟太大：問能否分租約 "&amp;TEXT(規格門檻!$D$18,"0")&amp;" 坪",IF(Q23&gt;=2,"2 面排球（龍蝦規格）",IF(R23&gt;=2,"2 面排球（精簡）",IF(R23&gt;=1,"1 面排球＋複合式",IF(H23&gt;=規格門檻!$D$6,"勉強 1 面：公共區要很小","太小：放不下一面")))))))</f>
        <v>勉強 1 面：公共區要很小</v>
      </c>
      <c r="T23" s="35" t="str">
        <f aca="false">IF(E23="","待查",IF(ISNUMBER(SEARCH("農業",E23)),"農業區：先問建管能否變更",IF(ISNUMBER(SEARCH("工",E23)),"工業區：可申請變更，仍要問建管","依使用執照，要問建管")))</f>
        <v>待查</v>
      </c>
      <c r="U23" s="30" t="str">
        <f aca="false">IF(OR(J23="",H23&lt;規格門檻!$D$17),"",J23*規格門檻!$D$18)</f>
        <v/>
      </c>
      <c r="V23" s="36" t="s">
        <v>91</v>
      </c>
      <c r="W23" s="35"/>
      <c r="X23" s="35" t="s">
        <v>130</v>
      </c>
      <c r="Y23" s="37" t="s">
        <v>131</v>
      </c>
      <c r="Z23" s="38" t="s">
        <v>55</v>
      </c>
      <c r="AA23" s="24"/>
      <c r="AB23" s="24"/>
      <c r="AC23" s="24"/>
      <c r="AD23" s="24"/>
    </row>
    <row r="24" customFormat="false" ht="15" hidden="false" customHeight="false" outlineLevel="0" collapsed="false">
      <c r="A24" s="27" t="s">
        <v>126</v>
      </c>
      <c r="B24" s="28" t="s">
        <v>132</v>
      </c>
      <c r="C24" s="28" t="s">
        <v>128</v>
      </c>
      <c r="D24" s="28" t="s">
        <v>133</v>
      </c>
      <c r="E24" s="28"/>
      <c r="F24" s="28"/>
      <c r="G24" s="29" t="n">
        <v>270</v>
      </c>
      <c r="H24" s="12" t="n">
        <v>270</v>
      </c>
      <c r="I24" s="29" t="n">
        <v>120000</v>
      </c>
      <c r="J24" s="30" t="n">
        <f aca="false">IF(OR(G24="",I24="",G24=0),"",I24/G24)</f>
        <v>444.444444444444</v>
      </c>
      <c r="K24" s="31"/>
      <c r="L24" s="15"/>
      <c r="M24" s="15"/>
      <c r="N24" s="15"/>
      <c r="O24" s="32" t="str">
        <f aca="false">IF(L24&lt;&gt;"",L24,IF(K24&lt;&gt;"",K24,""))</f>
        <v/>
      </c>
      <c r="P24" s="33" t="str">
        <f aca="false">IF(O24="","待量",IF(O24&gt;=規格門檻!$D$10,"理想",IF(O24&gt;=規格門檻!$D$11,"可打","太低")))</f>
        <v>待量</v>
      </c>
      <c r="Q24" s="34" t="n">
        <f aca="false">IF(AND(M24&lt;&gt;"",N24&lt;&gt;""),MAX(INT(M24/規格門檻!$B$5)*INT(N24/規格門檻!$C$5),INT(M24/規格門檻!$C$5)*INT(N24/規格門檻!$B$5)),IF(H24="","",MAX(0,INT((H24-規格門檻!$D$8)/規格門檻!$D$5))))</f>
        <v>1</v>
      </c>
      <c r="R24" s="34" t="n">
        <f aca="false">IF(AND(M24&lt;&gt;"",N24&lt;&gt;""),MAX(INT(M24/規格門檻!$B$6)*INT(N24/規格門檻!$C$6),INT(M24/規格門檻!$C$6)*INT(N24/規格門檻!$B$6)),IF(H24="","",MAX(0,INT((H24-規格門檻!$D$8)/規格門檻!$D$6))))</f>
        <v>2</v>
      </c>
      <c r="S24" s="35" t="str">
        <f aca="false">IF(H24="","資料不足：先問坪數",IF(P24="太低","不適合：淨高不夠",IF(H24&gt;=規格門檻!$D$12,"整棟太大：問能否分租約 "&amp;TEXT(規格門檻!$D$18,"0")&amp;" 坪",IF(Q24&gt;=2,"2 面排球（龍蝦規格）",IF(R24&gt;=2,"2 面排球（精簡）",IF(R24&gt;=1,"1 面排球＋複合式",IF(H24&gt;=規格門檻!$D$6,"勉強 1 面：公共區要很小","太小：放不下一面")))))))</f>
        <v>2 面排球（精簡）</v>
      </c>
      <c r="T24" s="35" t="str">
        <f aca="false">IF(E24="","待查",IF(ISNUMBER(SEARCH("農業",E24)),"農業區：先問建管能否變更",IF(ISNUMBER(SEARCH("工",E24)),"工業區：可申請變更，仍要問建管","依使用執照，要問建管")))</f>
        <v>待查</v>
      </c>
      <c r="U24" s="30" t="n">
        <f aca="false">IF(OR(J24="",H24&lt;規格門檻!$D$17),"",J24*規格門檻!$D$18)</f>
        <v>138777.233280228</v>
      </c>
      <c r="V24" s="36" t="s">
        <v>91</v>
      </c>
      <c r="W24" s="35"/>
      <c r="X24" s="35" t="s">
        <v>134</v>
      </c>
      <c r="Y24" s="37" t="s">
        <v>131</v>
      </c>
      <c r="Z24" s="38" t="s">
        <v>55</v>
      </c>
      <c r="AA24" s="24"/>
      <c r="AB24" s="24"/>
      <c r="AC24" s="24"/>
      <c r="AD24" s="24"/>
    </row>
    <row r="25" customFormat="false" ht="15" hidden="false" customHeight="false" outlineLevel="0" collapsed="false">
      <c r="A25" s="27" t="s">
        <v>126</v>
      </c>
      <c r="B25" s="28" t="s">
        <v>135</v>
      </c>
      <c r="C25" s="28" t="s">
        <v>128</v>
      </c>
      <c r="D25" s="28" t="s">
        <v>136</v>
      </c>
      <c r="E25" s="28"/>
      <c r="F25" s="28"/>
      <c r="G25" s="29" t="n">
        <v>300</v>
      </c>
      <c r="H25" s="12" t="n">
        <v>300</v>
      </c>
      <c r="I25" s="29" t="n">
        <v>150000</v>
      </c>
      <c r="J25" s="30" t="n">
        <f aca="false">IF(OR(G25="",I25="",G25=0),"",I25/G25)</f>
        <v>500</v>
      </c>
      <c r="K25" s="31"/>
      <c r="L25" s="15"/>
      <c r="M25" s="15"/>
      <c r="N25" s="15"/>
      <c r="O25" s="32" t="str">
        <f aca="false">IF(L25&lt;&gt;"",L25,IF(K25&lt;&gt;"",K25,""))</f>
        <v/>
      </c>
      <c r="P25" s="33" t="str">
        <f aca="false">IF(O25="","待量",IF(O25&gt;=規格門檻!$D$10,"理想",IF(O25&gt;=規格門檻!$D$11,"可打","太低")))</f>
        <v>待量</v>
      </c>
      <c r="Q25" s="34" t="n">
        <f aca="false">IF(AND(M25&lt;&gt;"",N25&lt;&gt;""),MAX(INT(M25/規格門檻!$B$5)*INT(N25/規格門檻!$C$5),INT(M25/規格門檻!$C$5)*INT(N25/規格門檻!$B$5)),IF(H25="","",MAX(0,INT((H25-規格門檻!$D$8)/規格門檻!$D$5))))</f>
        <v>1</v>
      </c>
      <c r="R25" s="34" t="n">
        <f aca="false">IF(AND(M25&lt;&gt;"",N25&lt;&gt;""),MAX(INT(M25/規格門檻!$B$6)*INT(N25/規格門檻!$C$6),INT(M25/規格門檻!$C$6)*INT(N25/規格門檻!$B$6)),IF(H25="","",MAX(0,INT((H25-規格門檻!$D$8)/規格門檻!$D$6))))</f>
        <v>2</v>
      </c>
      <c r="S25" s="35" t="str">
        <f aca="false">IF(H25="","資料不足：先問坪數",IF(P25="太低","不適合：淨高不夠",IF(H25&gt;=規格門檻!$D$12,"整棟太大：問能否分租約 "&amp;TEXT(規格門檻!$D$18,"0")&amp;" 坪",IF(Q25&gt;=2,"2 面排球（龍蝦規格）",IF(R25&gt;=2,"2 面排球（精簡）",IF(R25&gt;=1,"1 面排球＋複合式",IF(H25&gt;=規格門檻!$D$6,"勉強 1 面：公共區要很小","太小：放不下一面")))))))</f>
        <v>2 面排球（精簡）</v>
      </c>
      <c r="T25" s="35" t="str">
        <f aca="false">IF(E25="","待查",IF(ISNUMBER(SEARCH("農業",E25)),"農業區：先問建管能否變更",IF(ISNUMBER(SEARCH("工",E25)),"工業區：可申請變更，仍要問建管","依使用執照，要問建管")))</f>
        <v>待查</v>
      </c>
      <c r="U25" s="30" t="n">
        <f aca="false">IF(OR(J25="",H25&lt;規格門檻!$D$17),"",J25*規格門檻!$D$18)</f>
        <v>156124.387440257</v>
      </c>
      <c r="V25" s="36" t="s">
        <v>91</v>
      </c>
      <c r="W25" s="35"/>
      <c r="X25" s="35" t="s">
        <v>137</v>
      </c>
      <c r="Y25" s="37" t="s">
        <v>131</v>
      </c>
      <c r="Z25" s="38" t="s">
        <v>55</v>
      </c>
      <c r="AA25" s="24"/>
      <c r="AB25" s="24"/>
      <c r="AC25" s="24"/>
      <c r="AD25" s="24"/>
    </row>
    <row r="26" customFormat="false" ht="29.85" hidden="false" customHeight="false" outlineLevel="0" collapsed="false">
      <c r="A26" s="27" t="s">
        <v>126</v>
      </c>
      <c r="B26" s="28" t="s">
        <v>138</v>
      </c>
      <c r="C26" s="28" t="s">
        <v>139</v>
      </c>
      <c r="D26" s="28" t="s">
        <v>140</v>
      </c>
      <c r="E26" s="28"/>
      <c r="F26" s="28"/>
      <c r="G26" s="29" t="n">
        <v>220</v>
      </c>
      <c r="H26" s="12" t="n">
        <v>220</v>
      </c>
      <c r="I26" s="29" t="n">
        <v>80000</v>
      </c>
      <c r="J26" s="30" t="n">
        <f aca="false">IF(OR(G26="",I26="",G26=0),"",I26/G26)</f>
        <v>363.636363636364</v>
      </c>
      <c r="K26" s="31"/>
      <c r="L26" s="15"/>
      <c r="M26" s="15"/>
      <c r="N26" s="15"/>
      <c r="O26" s="32" t="str">
        <f aca="false">IF(L26&lt;&gt;"",L26,IF(K26&lt;&gt;"",K26,""))</f>
        <v/>
      </c>
      <c r="P26" s="33" t="str">
        <f aca="false">IF(O26="","待量",IF(O26&gt;=規格門檻!$D$10,"理想",IF(O26&gt;=規格門檻!$D$11,"可打","太低")))</f>
        <v>待量</v>
      </c>
      <c r="Q26" s="34" t="n">
        <f aca="false">IF(AND(M26&lt;&gt;"",N26&lt;&gt;""),MAX(INT(M26/規格門檻!$B$5)*INT(N26/規格門檻!$C$5),INT(M26/規格門檻!$C$5)*INT(N26/規格門檻!$B$5)),IF(H26="","",MAX(0,INT((H26-規格門檻!$D$8)/規格門檻!$D$5))))</f>
        <v>1</v>
      </c>
      <c r="R26" s="34" t="n">
        <f aca="false">IF(AND(M26&lt;&gt;"",N26&lt;&gt;""),MAX(INT(M26/規格門檻!$B$6)*INT(N26/規格門檻!$C$6),INT(M26/規格門檻!$C$6)*INT(N26/規格門檻!$B$6)),IF(H26="","",MAX(0,INT((H26-規格門檻!$D$8)/規格門檻!$D$6))))</f>
        <v>1</v>
      </c>
      <c r="S26" s="35" t="str">
        <f aca="false">IF(H26="","資料不足：先問坪數",IF(P26="太低","不適合：淨高不夠",IF(H26&gt;=規格門檻!$D$12,"整棟太大：問能否分租約 "&amp;TEXT(規格門檻!$D$18,"0")&amp;" 坪",IF(Q26&gt;=2,"2 面排球（龍蝦規格）",IF(R26&gt;=2,"2 面排球（精簡）",IF(R26&gt;=1,"1 面排球＋複合式",IF(H26&gt;=規格門檻!$D$6,"勉強 1 面：公共區要很小","太小：放不下一面")))))))</f>
        <v>1 面排球＋複合式</v>
      </c>
      <c r="T26" s="35" t="str">
        <f aca="false">IF(E26="","待查",IF(ISNUMBER(SEARCH("農業",E26)),"農業區：先問建管能否變更",IF(ISNUMBER(SEARCH("工",E26)),"工業區：可申請變更，仍要問建管","依使用執照，要問建管")))</f>
        <v>待查</v>
      </c>
      <c r="U26" s="30" t="str">
        <f aca="false">IF(OR(J26="",H26&lt;規格門檻!$D$17),"",J26*規格門檻!$D$18)</f>
        <v/>
      </c>
      <c r="V26" s="36" t="s">
        <v>91</v>
      </c>
      <c r="W26" s="35"/>
      <c r="X26" s="35" t="s">
        <v>141</v>
      </c>
      <c r="Y26" s="37" t="s">
        <v>131</v>
      </c>
      <c r="Z26" s="38" t="s">
        <v>55</v>
      </c>
      <c r="AA26" s="24"/>
      <c r="AB26" s="24"/>
      <c r="AC26" s="24"/>
      <c r="AD26" s="24"/>
    </row>
    <row r="27" customFormat="false" ht="15" hidden="false" customHeight="false" outlineLevel="0" collapsed="false">
      <c r="A27" s="27" t="s">
        <v>126</v>
      </c>
      <c r="B27" s="28" t="s">
        <v>142</v>
      </c>
      <c r="C27" s="28" t="s">
        <v>128</v>
      </c>
      <c r="D27" s="28" t="s">
        <v>143</v>
      </c>
      <c r="E27" s="28"/>
      <c r="F27" s="37" t="s">
        <v>144</v>
      </c>
      <c r="G27" s="29" t="n">
        <v>470</v>
      </c>
      <c r="H27" s="12" t="n">
        <v>0</v>
      </c>
      <c r="I27" s="29" t="n">
        <v>200000</v>
      </c>
      <c r="J27" s="30" t="n">
        <f aca="false">IF(OR(G27="",I27="",G27=0),"",I27/G27)</f>
        <v>425.531914893617</v>
      </c>
      <c r="K27" s="31" t="n">
        <v>6</v>
      </c>
      <c r="L27" s="15"/>
      <c r="M27" s="15"/>
      <c r="N27" s="15"/>
      <c r="O27" s="32" t="n">
        <f aca="false">IF(L27&lt;&gt;"",L27,IF(K27&lt;&gt;"",K27,""))</f>
        <v>6</v>
      </c>
      <c r="P27" s="33" t="str">
        <f aca="false">IF(O27="","待量",IF(O27&gt;=規格門檻!$D$10,"理想",IF(O27&gt;=規格門檻!$D$11,"可打","太低")))</f>
        <v>太低</v>
      </c>
      <c r="Q27" s="34" t="n">
        <f aca="false">IF(AND(M27&lt;&gt;"",N27&lt;&gt;""),MAX(INT(M27/規格門檻!$B$5)*INT(N27/規格門檻!$C$5),INT(M27/規格門檻!$C$5)*INT(N27/規格門檻!$B$5)),IF(H27="","",MAX(0,INT((H27-規格門檻!$D$8)/規格門檻!$D$5))))</f>
        <v>0</v>
      </c>
      <c r="R27" s="34" t="n">
        <f aca="false">IF(AND(M27&lt;&gt;"",N27&lt;&gt;""),MAX(INT(M27/規格門檻!$B$6)*INT(N27/規格門檻!$C$6),INT(M27/規格門檻!$C$6)*INT(N27/規格門檻!$B$6)),IF(H27="","",MAX(0,INT((H27-規格門檻!$D$8)/規格門檻!$D$6))))</f>
        <v>0</v>
      </c>
      <c r="S27" s="35" t="str">
        <f aca="false">IF(H27="","資料不足：先問坪數",IF(P27="太低","不適合：淨高不夠",IF(H27&gt;=規格門檻!$D$12,"整棟太大：問能否分租約 "&amp;TEXT(規格門檻!$D$18,"0")&amp;" 坪",IF(Q27&gt;=2,"2 面排球（龍蝦規格）",IF(R27&gt;=2,"2 面排球（精簡）",IF(R27&gt;=1,"1 面排球＋複合式",IF(H27&gt;=規格門檻!$D$6,"勉強 1 面：公共區要很小","太小：放不下一面")))))))</f>
        <v>不適合：淨高不夠</v>
      </c>
      <c r="T27" s="35" t="str">
        <f aca="false">IF(E27="","待查",IF(ISNUMBER(SEARCH("農業",E27)),"農業區：先問建管能否變更",IF(ISNUMBER(SEARCH("工",E27)),"工業區：可申請變更，仍要問建管","依使用執照，要問建管")))</f>
        <v>待查</v>
      </c>
      <c r="U27" s="30" t="str">
        <f aca="false">IF(OR(J27="",H27&lt;規格門檻!$D$17),"",J27*規格門檻!$D$18)</f>
        <v/>
      </c>
      <c r="V27" s="36" t="s">
        <v>91</v>
      </c>
      <c r="W27" s="35"/>
      <c r="X27" s="35" t="s">
        <v>145</v>
      </c>
      <c r="Y27" s="37" t="s">
        <v>131</v>
      </c>
      <c r="Z27" s="38" t="s">
        <v>55</v>
      </c>
      <c r="AA27" s="24"/>
      <c r="AB27" s="24"/>
      <c r="AC27" s="24"/>
      <c r="AD27" s="24"/>
    </row>
    <row r="29" customFormat="false" ht="15" hidden="false" customHeight="false" outlineLevel="0" collapsed="false">
      <c r="B29" s="39" t="s">
        <v>146</v>
      </c>
    </row>
    <row r="30" customFormat="false" ht="15" hidden="false" customHeight="false" outlineLevel="0" collapsed="false">
      <c r="B30" s="7" t="s">
        <v>147</v>
      </c>
    </row>
    <row r="31" customFormat="false" ht="15" hidden="false" customHeight="false" outlineLevel="0" collapsed="false">
      <c r="B31" s="7" t="s">
        <v>148</v>
      </c>
    </row>
    <row r="32" customFormat="false" ht="15" hidden="false" customHeight="false" outlineLevel="0" collapsed="false">
      <c r="B32" s="7" t="s">
        <v>149</v>
      </c>
    </row>
  </sheetData>
  <autoFilter ref="A4:AD27"/>
  <conditionalFormatting sqref="S5:S27">
    <cfRule type="expression" priority="2" aboveAverage="0" equalAverage="0" bottom="0" percent="0" rank="0" text="" dxfId="12">
      <formula>LEFT(S5,1)="2"</formula>
    </cfRule>
    <cfRule type="expression" priority="3" aboveAverage="0" equalAverage="0" bottom="0" percent="0" rank="0" text="" dxfId="13">
      <formula>LEFT(S5,1)="1"</formula>
    </cfRule>
    <cfRule type="expression" priority="4" aboveAverage="0" equalAverage="0" bottom="0" percent="0" rank="0" text="" dxfId="14">
      <formula>OR(LEFT(S5,2)="太小",LEFT(S5,3)="不適合")</formula>
    </cfRule>
  </conditionalFormatting>
  <dataValidations count="1">
    <dataValidation allowBlank="true" errorStyle="stop" operator="between" showDropDown="false" showErrorMessage="false" showInputMessage="false" sqref="A5:A200" type="list">
      <formula1>"A,B,C,參考"</formula1>
      <formula2>0</formula2>
    </dataValidation>
  </dataValidations>
  <hyperlinks>
    <hyperlink ref="Z5" r:id="rId2" display="開啟連結"/>
    <hyperlink ref="Z6" r:id="rId3" display="開啟連結"/>
    <hyperlink ref="Z7" r:id="rId4" display="開啟連結"/>
    <hyperlink ref="Z8" r:id="rId5" display="開啟連結"/>
    <hyperlink ref="Z9" r:id="rId6" display="開啟連結"/>
    <hyperlink ref="Z10" r:id="rId7" display="開啟連結"/>
    <hyperlink ref="Z11" r:id="rId8" display="開啟連結"/>
    <hyperlink ref="Z12" r:id="rId9" display="開啟連結"/>
    <hyperlink ref="Z13" r:id="rId10" display="開啟連結"/>
    <hyperlink ref="Z14" r:id="rId11" display="開啟連結"/>
    <hyperlink ref="Z15" r:id="rId12" display="開啟連結"/>
    <hyperlink ref="Z16" r:id="rId13" display="開啟連結"/>
    <hyperlink ref="Z17" r:id="rId14" display="開啟連結"/>
    <hyperlink ref="Z18" r:id="rId15" display="開啟連結"/>
    <hyperlink ref="Z19" r:id="rId16" display="開啟連結"/>
    <hyperlink ref="Z20" r:id="rId17" display="開啟連結"/>
    <hyperlink ref="Z21" r:id="rId18" display="開啟連結"/>
    <hyperlink ref="Z22" r:id="rId19" display="開啟連結"/>
    <hyperlink ref="Z23" r:id="rId20" display="開啟連結"/>
    <hyperlink ref="Z24" r:id="rId21" display="開啟連結"/>
    <hyperlink ref="Z25" r:id="rId22" display="開啟連結"/>
    <hyperlink ref="Z26" r:id="rId23" display="開啟連結"/>
    <hyperlink ref="Z27" r:id="rId24" display="開啟連結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"/>
  <legacy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0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6" t="s">
        <v>150</v>
      </c>
    </row>
    <row r="2" customFormat="false" ht="15" hidden="false" customHeight="false" outlineLevel="0" collapsed="false">
      <c r="A2" s="7" t="s">
        <v>151</v>
      </c>
    </row>
    <row r="4" customFormat="false" ht="42" hidden="false" customHeight="true" outlineLevel="0" collapsed="false">
      <c r="A4" s="8" t="s">
        <v>152</v>
      </c>
      <c r="B4" s="8" t="s">
        <v>153</v>
      </c>
      <c r="C4" s="8" t="s">
        <v>154</v>
      </c>
      <c r="D4" s="8" t="s">
        <v>155</v>
      </c>
      <c r="E4" s="8" t="s">
        <v>156</v>
      </c>
    </row>
    <row r="5" customFormat="false" ht="29.85" hidden="false" customHeight="false" outlineLevel="0" collapsed="false">
      <c r="A5" s="40" t="s">
        <v>157</v>
      </c>
      <c r="B5" s="15" t="n">
        <v>25</v>
      </c>
      <c r="C5" s="15" t="n">
        <v>18</v>
      </c>
      <c r="D5" s="41" t="n">
        <f aca="false">B5*C5/3.3058</f>
        <v>136.124387440257</v>
      </c>
      <c r="E5" s="19" t="s">
        <v>158</v>
      </c>
    </row>
    <row r="6" customFormat="false" ht="15" hidden="false" customHeight="false" outlineLevel="0" collapsed="false">
      <c r="A6" s="40" t="s">
        <v>159</v>
      </c>
      <c r="B6" s="15" t="n">
        <v>24</v>
      </c>
      <c r="C6" s="15" t="n">
        <v>15</v>
      </c>
      <c r="D6" s="41" t="n">
        <f aca="false">B6*C6/3.3058</f>
        <v>108.899509952205</v>
      </c>
      <c r="E6" s="19" t="s">
        <v>160</v>
      </c>
    </row>
    <row r="8" customFormat="false" ht="29.85" hidden="false" customHeight="false" outlineLevel="0" collapsed="false">
      <c r="A8" s="40" t="s">
        <v>161</v>
      </c>
      <c r="D8" s="42" t="n">
        <v>40</v>
      </c>
      <c r="E8" s="19" t="s">
        <v>162</v>
      </c>
    </row>
    <row r="10" customFormat="false" ht="15" hidden="false" customHeight="false" outlineLevel="0" collapsed="false">
      <c r="A10" s="40" t="s">
        <v>163</v>
      </c>
      <c r="D10" s="15" t="n">
        <v>9</v>
      </c>
      <c r="E10" s="19" t="s">
        <v>164</v>
      </c>
    </row>
    <row r="11" customFormat="false" ht="15" hidden="false" customHeight="false" outlineLevel="0" collapsed="false">
      <c r="A11" s="40" t="s">
        <v>165</v>
      </c>
      <c r="D11" s="15" t="n">
        <v>7</v>
      </c>
      <c r="E11" s="19" t="s">
        <v>166</v>
      </c>
    </row>
    <row r="12" customFormat="false" ht="15" hidden="false" customHeight="false" outlineLevel="0" collapsed="false">
      <c r="A12" s="40" t="s">
        <v>167</v>
      </c>
      <c r="D12" s="12" t="n">
        <v>600</v>
      </c>
      <c r="E12" s="19" t="s">
        <v>168</v>
      </c>
    </row>
    <row r="14" customFormat="false" ht="15" hidden="false" customHeight="false" outlineLevel="0" collapsed="false">
      <c r="A14" s="43" t="s">
        <v>169</v>
      </c>
      <c r="B14" s="44"/>
      <c r="C14" s="44"/>
      <c r="D14" s="44"/>
      <c r="E14" s="44"/>
    </row>
    <row r="15" customFormat="false" ht="29.85" hidden="false" customHeight="false" outlineLevel="0" collapsed="false">
      <c r="A15" s="45" t="s">
        <v>170</v>
      </c>
      <c r="D15" s="41" t="n">
        <f aca="false">D6*1+D8</f>
        <v>148.899509952205</v>
      </c>
      <c r="E15" s="19" t="s">
        <v>171</v>
      </c>
    </row>
    <row r="16" customFormat="false" ht="29.85" hidden="false" customHeight="false" outlineLevel="0" collapsed="false">
      <c r="A16" s="45" t="s">
        <v>172</v>
      </c>
      <c r="D16" s="41" t="n">
        <f aca="false">D5*1+D8</f>
        <v>176.124387440257</v>
      </c>
      <c r="E16" s="19" t="s">
        <v>171</v>
      </c>
    </row>
    <row r="17" customFormat="false" ht="29.85" hidden="false" customHeight="false" outlineLevel="0" collapsed="false">
      <c r="A17" s="45" t="s">
        <v>173</v>
      </c>
      <c r="D17" s="41" t="n">
        <f aca="false">D6*2+D8</f>
        <v>257.79901990441</v>
      </c>
      <c r="E17" s="19" t="s">
        <v>171</v>
      </c>
    </row>
    <row r="18" customFormat="false" ht="29.85" hidden="false" customHeight="false" outlineLevel="0" collapsed="false">
      <c r="A18" s="45" t="s">
        <v>174</v>
      </c>
      <c r="D18" s="41" t="n">
        <f aca="false">D5*2+D8</f>
        <v>312.248774880513</v>
      </c>
      <c r="E18" s="19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6" t="s">
        <v>175</v>
      </c>
    </row>
    <row r="2" customFormat="false" ht="15" hidden="false" customHeight="false" outlineLevel="0" collapsed="false">
      <c r="A2" s="7" t="s">
        <v>176</v>
      </c>
    </row>
    <row r="4" customFormat="false" ht="42" hidden="false" customHeight="true" outlineLevel="0" collapsed="false">
      <c r="A4" s="8" t="s">
        <v>177</v>
      </c>
      <c r="B4" s="8" t="s">
        <v>178</v>
      </c>
      <c r="C4" s="8" t="s">
        <v>179</v>
      </c>
      <c r="D4" s="8" t="s">
        <v>180</v>
      </c>
      <c r="E4" s="8" t="s">
        <v>181</v>
      </c>
      <c r="F4" s="8" t="s">
        <v>182</v>
      </c>
      <c r="G4" s="8" t="s">
        <v>183</v>
      </c>
      <c r="H4" s="8" t="s">
        <v>184</v>
      </c>
      <c r="I4" s="8" t="s">
        <v>40</v>
      </c>
      <c r="J4" s="8" t="s">
        <v>45</v>
      </c>
    </row>
    <row r="5" customFormat="false" ht="29.85" hidden="false" customHeight="false" outlineLevel="0" collapsed="false">
      <c r="A5" s="40" t="s">
        <v>185</v>
      </c>
      <c r="B5" s="10" t="s">
        <v>186</v>
      </c>
      <c r="C5" s="21" t="n">
        <v>2</v>
      </c>
      <c r="D5" s="14" t="n">
        <v>25</v>
      </c>
      <c r="E5" s="14" t="n">
        <v>18</v>
      </c>
      <c r="F5" s="41" t="n">
        <f aca="false">IF(OR(D5="",E5=""),"",D5*E5/3.3058)</f>
        <v>136.124387440257</v>
      </c>
      <c r="G5" s="13" t="n">
        <f aca="false">IF(F5="","",F5*C5)</f>
        <v>272.248774880513</v>
      </c>
      <c r="H5" s="15"/>
      <c r="I5" s="10" t="s">
        <v>187</v>
      </c>
      <c r="J5" s="19" t="s">
        <v>188</v>
      </c>
    </row>
    <row r="6" customFormat="false" ht="15" hidden="false" customHeight="false" outlineLevel="0" collapsed="false">
      <c r="A6" s="40" t="s">
        <v>189</v>
      </c>
      <c r="B6" s="10" t="s">
        <v>190</v>
      </c>
      <c r="C6" s="21" t="n">
        <v>5</v>
      </c>
      <c r="D6" s="15"/>
      <c r="E6" s="15"/>
      <c r="F6" s="41" t="str">
        <f aca="false">IF(OR(D6="",E6=""),"",D6*E6/3.3058)</f>
        <v/>
      </c>
      <c r="G6" s="13" t="str">
        <f aca="false">IF(F6="","",F6*C6)</f>
        <v/>
      </c>
      <c r="H6" s="15"/>
      <c r="I6" s="22" t="s">
        <v>191</v>
      </c>
      <c r="J6" s="25" t="s">
        <v>192</v>
      </c>
    </row>
    <row r="7" customFormat="false" ht="15" hidden="false" customHeight="false" outlineLevel="0" collapsed="false">
      <c r="A7" s="45" t="s">
        <v>193</v>
      </c>
      <c r="B7" s="10" t="s">
        <v>186</v>
      </c>
      <c r="C7" s="21" t="n">
        <v>1</v>
      </c>
      <c r="D7" s="15"/>
      <c r="E7" s="15"/>
      <c r="F7" s="41" t="str">
        <f aca="false">IF(OR(D7="",E7=""),"",D7*E7/3.3058)</f>
        <v/>
      </c>
      <c r="G7" s="13" t="str">
        <f aca="false">IF(F7="","",F7*C7)</f>
        <v/>
      </c>
      <c r="H7" s="15"/>
      <c r="I7" s="22" t="s">
        <v>191</v>
      </c>
      <c r="J7" s="25"/>
    </row>
    <row r="8" customFormat="false" ht="15" hidden="false" customHeight="false" outlineLevel="0" collapsed="false">
      <c r="A8" s="40" t="s">
        <v>194</v>
      </c>
      <c r="B8" s="10" t="s">
        <v>195</v>
      </c>
      <c r="C8" s="21" t="n">
        <v>1</v>
      </c>
      <c r="D8" s="15"/>
      <c r="E8" s="15"/>
      <c r="F8" s="41" t="str">
        <f aca="false">IF(OR(D8="",E8=""),"",D8*E8/3.3058)</f>
        <v/>
      </c>
      <c r="G8" s="13" t="str">
        <f aca="false">IF(F8="","",F8*C8)</f>
        <v/>
      </c>
      <c r="H8" s="15"/>
      <c r="I8" s="22" t="s">
        <v>191</v>
      </c>
      <c r="J8" s="19" t="s">
        <v>196</v>
      </c>
    </row>
    <row r="9" customFormat="false" ht="15" hidden="false" customHeight="false" outlineLevel="0" collapsed="false">
      <c r="A9" s="40" t="s">
        <v>197</v>
      </c>
      <c r="B9" s="10" t="s">
        <v>198</v>
      </c>
      <c r="C9" s="21" t="n">
        <v>1</v>
      </c>
      <c r="D9" s="15"/>
      <c r="E9" s="15"/>
      <c r="F9" s="41" t="str">
        <f aca="false">IF(OR(D9="",E9=""),"",D9*E9/3.3058)</f>
        <v/>
      </c>
      <c r="G9" s="13" t="str">
        <f aca="false">IF(F9="","",F9*C9)</f>
        <v/>
      </c>
      <c r="H9" s="15"/>
      <c r="I9" s="22" t="s">
        <v>191</v>
      </c>
      <c r="J9" s="25"/>
    </row>
    <row r="10" customFormat="false" ht="29.85" hidden="false" customHeight="false" outlineLevel="0" collapsed="false">
      <c r="A10" s="40" t="s">
        <v>199</v>
      </c>
      <c r="B10" s="10" t="s">
        <v>200</v>
      </c>
      <c r="C10" s="21" t="n">
        <v>1</v>
      </c>
      <c r="D10" s="14" t="n">
        <v>24</v>
      </c>
      <c r="E10" s="14" t="n">
        <v>17</v>
      </c>
      <c r="F10" s="41" t="n">
        <f aca="false">IF(OR(D10="",E10=""),"",D10*E10/3.3058)</f>
        <v>123.419444612499</v>
      </c>
      <c r="G10" s="13" t="n">
        <f aca="false">IF(F10="","",F10*C10)</f>
        <v>123.419444612499</v>
      </c>
      <c r="H10" s="15"/>
      <c r="I10" s="10" t="s">
        <v>201</v>
      </c>
      <c r="J10" s="19" t="s">
        <v>202</v>
      </c>
    </row>
    <row r="11" customFormat="false" ht="29.85" hidden="false" customHeight="false" outlineLevel="0" collapsed="false">
      <c r="A11" s="40" t="s">
        <v>203</v>
      </c>
      <c r="B11" s="22" t="s">
        <v>204</v>
      </c>
      <c r="C11" s="21" t="n">
        <v>1</v>
      </c>
      <c r="D11" s="14" t="n">
        <v>31</v>
      </c>
      <c r="E11" s="14" t="n">
        <v>19</v>
      </c>
      <c r="F11" s="41" t="n">
        <f aca="false">IF(OR(D11="",E11=""),"",D11*E11/3.3058)</f>
        <v>178.171698227358</v>
      </c>
      <c r="G11" s="13" t="n">
        <f aca="false">IF(F11="","",F11*C11)</f>
        <v>178.171698227358</v>
      </c>
      <c r="H11" s="14" t="n">
        <v>12.5</v>
      </c>
      <c r="I11" s="22" t="s">
        <v>205</v>
      </c>
      <c r="J11" s="19" t="s">
        <v>206</v>
      </c>
    </row>
    <row r="13" customFormat="false" ht="15" hidden="false" customHeight="false" outlineLevel="0" collapsed="false">
      <c r="A13" s="40" t="s">
        <v>207</v>
      </c>
      <c r="C13" s="46" t="n">
        <f aca="false">SUM(C5:C9)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46"/>
  </cols>
  <sheetData>
    <row r="1" customFormat="false" ht="21.6" hidden="false" customHeight="false" outlineLevel="0" collapsed="false">
      <c r="A1" s="6" t="s">
        <v>208</v>
      </c>
    </row>
    <row r="2" customFormat="false" ht="15" hidden="false" customHeight="false" outlineLevel="0" collapsed="false">
      <c r="A2" s="7" t="s">
        <v>209</v>
      </c>
    </row>
    <row r="4" customFormat="false" ht="42" hidden="false" customHeight="true" outlineLevel="0" collapsed="false">
      <c r="A4" s="8" t="s">
        <v>210</v>
      </c>
      <c r="B4" s="8" t="s">
        <v>211</v>
      </c>
      <c r="C4" s="8" t="s">
        <v>212</v>
      </c>
      <c r="D4" s="47" t="s">
        <v>213</v>
      </c>
      <c r="E4" s="8" t="s">
        <v>214</v>
      </c>
      <c r="F4" s="8" t="s">
        <v>215</v>
      </c>
      <c r="G4" s="8" t="s">
        <v>216</v>
      </c>
      <c r="H4" s="8" t="s">
        <v>217</v>
      </c>
      <c r="I4" s="8" t="s">
        <v>218</v>
      </c>
      <c r="J4" s="8" t="s">
        <v>219</v>
      </c>
    </row>
    <row r="5" customFormat="false" ht="29.85" hidden="false" customHeight="false" outlineLevel="0" collapsed="false">
      <c r="A5" s="40" t="s">
        <v>220</v>
      </c>
      <c r="B5" s="22" t="s">
        <v>221</v>
      </c>
      <c r="C5" s="22" t="s">
        <v>222</v>
      </c>
      <c r="D5" s="21" t="n">
        <v>1</v>
      </c>
      <c r="E5" s="10" t="s">
        <v>223</v>
      </c>
      <c r="F5" s="22" t="s">
        <v>224</v>
      </c>
      <c r="G5" s="12" t="n">
        <f aca="false">4200/3</f>
        <v>1400</v>
      </c>
      <c r="H5" s="13" t="n">
        <f aca="false">IF(G5="","",G5*D5)</f>
        <v>1400</v>
      </c>
      <c r="I5" s="10" t="s">
        <v>225</v>
      </c>
      <c r="J5" s="19" t="s">
        <v>226</v>
      </c>
    </row>
    <row r="6" customFormat="false" ht="45" hidden="false" customHeight="true" outlineLevel="0" collapsed="false">
      <c r="A6" s="40" t="s">
        <v>227</v>
      </c>
      <c r="B6" s="22" t="s">
        <v>228</v>
      </c>
      <c r="C6" s="10" t="s">
        <v>229</v>
      </c>
      <c r="D6" s="21" t="n">
        <v>3</v>
      </c>
      <c r="E6" s="22" t="s">
        <v>230</v>
      </c>
      <c r="F6" s="22" t="s">
        <v>231</v>
      </c>
      <c r="G6" s="12" t="n">
        <v>550</v>
      </c>
      <c r="H6" s="13" t="n">
        <f aca="false">IF(G6="","",G6*D6)</f>
        <v>1650</v>
      </c>
      <c r="I6" s="10" t="s">
        <v>232</v>
      </c>
      <c r="J6" s="19" t="s">
        <v>233</v>
      </c>
    </row>
    <row r="7" customFormat="false" ht="29.85" hidden="false" customHeight="false" outlineLevel="0" collapsed="false">
      <c r="A7" s="40" t="s">
        <v>234</v>
      </c>
      <c r="B7" s="22" t="s">
        <v>235</v>
      </c>
      <c r="C7" s="10" t="s">
        <v>236</v>
      </c>
      <c r="D7" s="21" t="n">
        <v>2</v>
      </c>
      <c r="E7" s="22" t="s">
        <v>237</v>
      </c>
      <c r="F7" s="22" t="s">
        <v>238</v>
      </c>
      <c r="G7" s="12"/>
      <c r="H7" s="13" t="str">
        <f aca="false">IF(G7="","",G7*D7)</f>
        <v/>
      </c>
      <c r="I7" s="10" t="s">
        <v>239</v>
      </c>
      <c r="J7" s="19" t="s">
        <v>240</v>
      </c>
    </row>
    <row r="8" customFormat="false" ht="29.85" hidden="false" customHeight="false" outlineLevel="0" collapsed="false">
      <c r="A8" s="40" t="s">
        <v>241</v>
      </c>
      <c r="B8" s="22" t="s">
        <v>242</v>
      </c>
      <c r="C8" s="10" t="s">
        <v>243</v>
      </c>
      <c r="D8" s="21" t="n">
        <v>1</v>
      </c>
      <c r="E8" s="10" t="s">
        <v>244</v>
      </c>
      <c r="F8" s="22" t="s">
        <v>245</v>
      </c>
      <c r="G8" s="12"/>
      <c r="H8" s="13" t="str">
        <f aca="false">IF(G8="","",G8*D8)</f>
        <v/>
      </c>
      <c r="I8" s="10" t="s">
        <v>246</v>
      </c>
      <c r="J8" s="19" t="s">
        <v>247</v>
      </c>
    </row>
    <row r="11" customFormat="false" ht="15" hidden="false" customHeight="false" outlineLevel="0" collapsed="false">
      <c r="A11" s="40" t="s">
        <v>248</v>
      </c>
    </row>
    <row r="12" customFormat="false" ht="15" hidden="false" customHeight="false" outlineLevel="0" collapsed="false">
      <c r="A12" s="48" t="s">
        <v>249</v>
      </c>
    </row>
    <row r="13" customFormat="false" ht="15" hidden="false" customHeight="false" outlineLevel="0" collapsed="false">
      <c r="A13" s="48" t="s">
        <v>250</v>
      </c>
    </row>
    <row r="14" customFormat="false" ht="15" hidden="false" customHeight="false" outlineLevel="0" collapsed="false">
      <c r="A14" s="48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2026-10-21T18:10:48Z</dcterms:created>
  <dc:creator>openpyxl</dc:creator>
  <dc:description/>
  <dc:language>en-US</dc:language>
  <cp:lastModifiedBy/>
  <dcterms:modified xsi:type="dcterms:W3CDTF">2026-10-21T18:10:48Z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