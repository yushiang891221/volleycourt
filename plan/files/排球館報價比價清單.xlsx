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預算總表" sheetId="2" state="visible" r:id="rId4"/>
    <sheet name="比價清單" sheetId="3" state="visible" r:id="rId5"/>
    <sheet name="地板方案比較" sheetId="4" state="visible" r:id="rId6"/>
    <sheet name="廠商報價追蹤" sheetId="5" state="visible" r:id="rId7"/>
    <sheet name="排球人口推估" sheetId="6" state="visible" r:id="rId8"/>
  </sheets>
  <definedNames>
    <definedName function="false" hidden="true" localSheetId="2" name="_xlnm._FilterDatabase" vbProcedure="false">比價清單!$A$1:$P$33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1" authorId="0">
      <text>
        <r>
          <rPr>
            <sz val="10"/>
            <rFont val="Noto Sans CJK SC"/>
            <family val="2"/>
          </rPr>
          <t xml:space="preserve">寶山鄉大崎村：可利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館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Noto Sans CJK SC"/>
            <family val="2"/>
          </rPr>
          <t xml:space="preserve">面、龍蝦 </t>
        </r>
        <r>
          <rPr>
            <sz val="10"/>
            <rFont val="Arial"/>
            <family val="2"/>
          </rPr>
          <t xml:space="preserve">2 </t>
        </r>
        <r>
          <rPr>
            <sz val="10"/>
            <rFont val="Noto Sans CJK SC"/>
            <family val="2"/>
          </rPr>
          <t xml:space="preserve">面、排丘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面、就醬瘋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面（門牌屬寶山鄉大崎村）。面數來源：</t>
        </r>
        <r>
          <rPr>
            <sz val="10"/>
            <rFont val="Arial"/>
            <family val="2"/>
          </rPr>
          <t xml:space="preserve">Threads </t>
        </r>
        <r>
          <rPr>
            <sz val="10"/>
            <rFont val="Noto Sans CJK SC"/>
            <family val="2"/>
          </rPr>
          <t xml:space="preserve">球友統計；位置：國土測繪中心門牌資料。</t>
        </r>
      </text>
    </comment>
  </commentList>
</comments>
</file>

<file path=xl/sharedStrings.xml><?xml version="1.0" encoding="utf-8"?>
<sst xmlns="http://schemas.openxmlformats.org/spreadsheetml/2006/main" count="571" uniqueCount="360">
  <si>
    <t xml:space="preserve">新竹排球館｜開館報價比價清單</t>
  </si>
  <si>
    <t xml:space="preserve">查價日期：2026/10/21（網路刊登價，實際價格、含稅、運費請以賣家或廠商報價為準）</t>
  </si>
  <si>
    <t xml:space="preserve">怎麼用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</si>
  <si>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在「預算總表」黃底格調整場地假設（面積、燈具數、風扇數）。
</t>
    </r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在「比價清單」的「選用」欄填 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，該項目就會加總到預算總表；同一品項只選一個。
</t>
    </r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找廠商估價後，填進「廠商報價追蹤」。
</t>
    </r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「排球人口推估」黃底格是假設值，問卷或官方資料出來後直接改，結果會自動更新。</t>
    </r>
  </si>
  <si>
    <t xml:space="preserve">顏色說明</t>
  </si>
  <si>
    <t xml:space="preserve">藍字＝查到的價格或資料（輸入值）　黑字＝公式　綠字＝引用其他工作表　黃底＝假設值，請依實際情況修改</t>
  </si>
  <si>
    <t xml:space="preserve">網拍低價注意</t>
  </si>
  <si>
    <t xml:space="preserve">網拍上的運動地膠、排球柱有很多是家用或練習等級，耐用度和安全性不一定適合營業場館。比價時請確認：厚度、是否有運動地板認證、保固、是否含施工。</t>
  </si>
  <si>
    <t xml:space="preserve">大型吊扇注意</t>
  </si>
  <si>
    <r>
      <rPr>
        <sz val="10"/>
        <color rgb="FF000000"/>
        <rFont val="Arial"/>
        <family val="0"/>
        <charset val="1"/>
      </rPr>
      <t xml:space="preserve">7.3 m </t>
    </r>
    <r>
      <rPr>
        <sz val="10"/>
        <color rgb="FF000000"/>
        <rFont val="Noto Sans CJK SC"/>
        <family val="2"/>
      </rPr>
      <t xml:space="preserve">的大型工業吊扇（</t>
    </r>
    <r>
      <rPr>
        <sz val="10"/>
        <color rgb="FF000000"/>
        <rFont val="Arial"/>
        <family val="0"/>
        <charset val="1"/>
      </rPr>
      <t xml:space="preserve">HVLS</t>
    </r>
    <r>
      <rPr>
        <sz val="10"/>
        <color rgb="FF000000"/>
        <rFont val="Noto Sans CJK SC"/>
        <family val="2"/>
      </rPr>
      <t xml:space="preserve">）在網拍上標 </t>
    </r>
    <r>
      <rPr>
        <sz val="10"/>
        <color rgb="FF000000"/>
        <rFont val="Arial"/>
        <family val="0"/>
        <charset val="1"/>
      </rPr>
      <t xml:space="preserve">1,000–5,000 </t>
    </r>
    <r>
      <rPr>
        <sz val="10"/>
        <color rgb="FF000000"/>
        <rFont val="Noto Sans CJK SC"/>
        <family val="2"/>
      </rPr>
      <t xml:space="preserve">元多半是訂金或零件價，實際要找廠商連安裝、結構評估一起報價。</t>
    </r>
  </si>
  <si>
    <t xml:space="preserve">還沒有價格的項目</t>
  </si>
  <si>
    <t xml:space="preserve">專業運動地板（Enlio、Taraflex）、比賽用排球網、裁判台、預約系統月費、廁所淋浴、法規變更、保險，這些要向廠商詢價，已列在「廠商報價追蹤」。</t>
  </si>
  <si>
    <t xml:space="preserve">候選廠房</t>
  </si>
  <si>
    <r>
      <rPr>
        <sz val="11"/>
        <rFont val="Noto Sans CJK SC"/>
        <family val="2"/>
      </rPr>
      <t xml:space="preserve">廠房、倉庫候選物件（高度、大小、適合幾面、地點、價格）已移到同資料夾的「廠房搜尋清單</t>
    </r>
    <r>
      <rPr>
        <sz val="11"/>
        <rFont val="Arial"/>
        <family val="0"/>
        <charset val="1"/>
      </rPr>
      <t xml:space="preserve">.xlsx</t>
    </r>
    <r>
      <rPr>
        <sz val="11"/>
        <rFont val="Noto Sans CJK SC"/>
        <family val="2"/>
      </rPr>
      <t xml:space="preserve">」，以那份為準。</t>
    </r>
  </si>
  <si>
    <t xml:space="preserve">開辦預算總表（元）</t>
  </si>
  <si>
    <t xml:space="preserve">場地假設（黃底可改）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</si>
  <si>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面場地板面積（㎡）</t>
    </r>
  </si>
  <si>
    <r>
      <rPr>
        <sz val="10"/>
        <color rgb="FF5A6472"/>
        <rFont val="Arial"/>
        <family val="0"/>
        <charset val="1"/>
      </rPr>
      <t xml:space="preserve">24 × 15 m</t>
    </r>
    <r>
      <rPr>
        <sz val="10"/>
        <color rgb="FF5A6472"/>
        <rFont val="Noto Sans CJK SC"/>
        <family val="2"/>
      </rPr>
      <t xml:space="preserve">（球場＋四周 </t>
    </r>
    <r>
      <rPr>
        <sz val="10"/>
        <color rgb="FF5A6472"/>
        <rFont val="Arial"/>
        <family val="0"/>
        <charset val="1"/>
      </rPr>
      <t xml:space="preserve">3 m </t>
    </r>
    <r>
      <rPr>
        <sz val="10"/>
        <color rgb="FF5A6472"/>
        <rFont val="Noto Sans CJK SC"/>
        <family val="2"/>
      </rPr>
      <t xml:space="preserve">緩衝）</t>
    </r>
  </si>
  <si>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面場地板面積（㎡）</t>
    </r>
  </si>
  <si>
    <t xml:space="preserve">約 28 × 24 m（兩面並排、中間共用緩衝）</t>
  </si>
  <si>
    <t xml:space="preserve">每面場燈具數（盞）</t>
  </si>
  <si>
    <t xml:space="preserve">假設值，請照明廠商依照度計算</t>
  </si>
  <si>
    <t xml:space="preserve">每面場大型吊扇數（台）</t>
  </si>
  <si>
    <t xml:space="preserve">假設值，100 吋級吊扇；改用 7.3 m HVLS 則 1–2 台</t>
  </si>
  <si>
    <t xml:space="preserve">預算項目</t>
  </si>
  <si>
    <t xml:space="preserve">簡報預算｜1 面</t>
  </si>
  <si>
    <t xml:space="preserve">簡報預算｜2 面</t>
  </si>
  <si>
    <t xml:space="preserve">比價估算｜1 面（選用 Y 加總）</t>
  </si>
  <si>
    <t xml:space="preserve">比價估算｜2 面</t>
  </si>
  <si>
    <t xml:space="preserve">差額｜1 面（預算－估算）</t>
  </si>
  <si>
    <t xml:space="preserve">說明</t>
  </si>
  <si>
    <t xml:space="preserve">運動地板</t>
  </si>
  <si>
    <t xml:space="preserve">比價只含材料；整平、彈性底層、施工另計，請地板廠商報價</t>
  </si>
  <si>
    <t xml:space="preserve">網柱、球網、球具</t>
  </si>
  <si>
    <t xml:space="preserve">球網、標誌桿、裁判台待報價</t>
  </si>
  <si>
    <t xml:space="preserve">照明（LED、裝兩側）</t>
  </si>
  <si>
    <t xml:space="preserve">比價不含電工配線</t>
  </si>
  <si>
    <t xml:space="preserve">通風、冷氣</t>
  </si>
  <si>
    <t xml:space="preserve">比價只含吊扇本體；冷氣、排風、安裝另計</t>
  </si>
  <si>
    <t xml:space="preserve">廁所、淋浴、更衣</t>
  </si>
  <si>
    <t xml:space="preserve">待廠商報價</t>
  </si>
  <si>
    <t xml:space="preserve">向水電、裝修廠商報價</t>
  </si>
  <si>
    <t xml:space="preserve">休息區、櫃台、家具</t>
  </si>
  <si>
    <t xml:space="preserve">法規變更、設計、消防</t>
  </si>
  <si>
    <t xml:space="preserve">建築師、消防設備師報價</t>
  </si>
  <si>
    <t xml:space="preserve">系統、門禁、監視器</t>
  </si>
  <si>
    <t xml:space="preserve">預約平台費用待洽詢</t>
  </si>
  <si>
    <t xml:space="preserve">品牌與開幕行銷</t>
  </si>
  <si>
    <t xml:space="preserve">安全設備（AED 等）</t>
  </si>
  <si>
    <t xml:space="preserve">簡報預算原本沒列，建議補 7–9 萬</t>
  </si>
  <si>
    <t xml:space="preserve">合計</t>
  </si>
  <si>
    <t xml:space="preserve">比價估算只涵蓋有網路價格的項目，不是完整開辦費</t>
  </si>
  <si>
    <t xml:space="preserve">類別</t>
  </si>
  <si>
    <t xml:space="preserve">品項</t>
  </si>
  <si>
    <t xml:space="preserve">品牌／型號</t>
  </si>
  <si>
    <t xml:space="preserve">規格重點</t>
  </si>
  <si>
    <t xml:space="preserve">單價（元）</t>
  </si>
  <si>
    <t xml:space="preserve">單位</t>
  </si>
  <si>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面數量</t>
    </r>
  </si>
  <si>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面數量</t>
    </r>
  </si>
  <si>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面小計</t>
    </r>
  </si>
  <si>
    <r>
      <rPr>
        <b val="true"/>
        <sz val="10"/>
        <color rgb="FFFFFFFF"/>
        <rFont val="Arial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面小計</t>
    </r>
  </si>
  <si>
    <t xml:space="preserve">選用(Y)</t>
  </si>
  <si>
    <t xml:space="preserve">通路／賣家</t>
  </si>
  <si>
    <t xml:space="preserve">連結</t>
  </si>
  <si>
    <t xml:space="preserve">查價日</t>
  </si>
  <si>
    <t xml:space="preserve">備註</t>
  </si>
  <si>
    <t xml:space="preserve">其他球館／參考</t>
  </si>
  <si>
    <r>
      <rPr>
        <sz val="10"/>
        <color rgb="FF000000"/>
        <rFont val="Arial"/>
        <family val="0"/>
        <charset val="1"/>
      </rPr>
      <t xml:space="preserve">PVC </t>
    </r>
    <r>
      <rPr>
        <sz val="10"/>
        <color rgb="FF000000"/>
        <rFont val="Noto Sans CJK SC"/>
        <family val="2"/>
      </rPr>
      <t xml:space="preserve">運動地膠（寶石紋）</t>
    </r>
  </si>
  <si>
    <t xml:space="preserve">宜悅家居（網拍）</t>
  </si>
  <si>
    <r>
      <rPr>
        <sz val="10"/>
        <color rgb="FF000000"/>
        <rFont val="Arial"/>
        <family val="0"/>
        <charset val="1"/>
      </rPr>
      <t xml:space="preserve">4.5 mm </t>
    </r>
    <r>
      <rPr>
        <sz val="10"/>
        <color rgb="FF000000"/>
        <rFont val="Noto Sans CJK SC"/>
        <family val="2"/>
      </rPr>
      <t xml:space="preserve">捲材，可依尺寸訂製</t>
    </r>
  </si>
  <si>
    <t xml:space="preserve">元/㎡</t>
  </si>
  <si>
    <t xml:space="preserve">Y</t>
  </si>
  <si>
    <t xml:space="preserve">樂天市場</t>
  </si>
  <si>
    <t xml:space="preserve">開啟連結</t>
  </si>
  <si>
    <t xml:space="preserve">2026/10/21</t>
  </si>
  <si>
    <t xml:space="preserve">網拍等級，無運動認證資料；只含材料</t>
  </si>
  <si>
    <t xml:space="preserve">可利：Google 評論提到用 PU 地板</t>
  </si>
  <si>
    <r>
      <rPr>
        <sz val="10"/>
        <color rgb="FF000000"/>
        <rFont val="Arial"/>
        <family val="0"/>
        <charset val="1"/>
      </rPr>
      <t xml:space="preserve">PVC </t>
    </r>
    <r>
      <rPr>
        <sz val="10"/>
        <color rgb="FF000000"/>
        <rFont val="Noto Sans CJK SC"/>
        <family val="2"/>
      </rPr>
      <t xml:space="preserve">運動地膠</t>
    </r>
  </si>
  <si>
    <t xml:space="preserve">心語家居（網拍）</t>
  </si>
  <si>
    <t xml:space="preserve">4.5 mm</t>
  </si>
  <si>
    <t xml:space="preserve">蝦皮</t>
  </si>
  <si>
    <t xml:space="preserve">網拍等級</t>
  </si>
  <si>
    <r>
      <rPr>
        <sz val="10"/>
        <color rgb="FF000000"/>
        <rFont val="Arial"/>
        <family val="0"/>
        <charset val="1"/>
      </rPr>
      <t xml:space="preserve">MM </t>
    </r>
    <r>
      <rPr>
        <sz val="10"/>
        <color rgb="FF000000"/>
        <rFont val="Noto Sans CJK SC"/>
        <family val="2"/>
      </rPr>
      <t xml:space="preserve">居家（網拍）</t>
    </r>
  </si>
  <si>
    <r>
      <rPr>
        <sz val="10"/>
        <color rgb="FF000000"/>
        <rFont val="Arial"/>
        <family val="0"/>
        <charset val="1"/>
      </rPr>
      <t xml:space="preserve">3.5 mm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㎡ 起訂</t>
    </r>
  </si>
  <si>
    <r>
      <rPr>
        <sz val="10"/>
        <color rgb="FF5A6472"/>
        <rFont val="Arial"/>
        <family val="0"/>
        <charset val="1"/>
      </rPr>
      <t xml:space="preserve">3.5 mm </t>
    </r>
    <r>
      <rPr>
        <sz val="10"/>
        <color rgb="FF5A6472"/>
        <rFont val="Noto Sans CJK SC"/>
        <family val="2"/>
      </rPr>
      <t xml:space="preserve">偏薄，排球救球建議 </t>
    </r>
    <r>
      <rPr>
        <sz val="10"/>
        <color rgb="FF5A6472"/>
        <rFont val="Arial"/>
        <family val="0"/>
        <charset val="1"/>
      </rPr>
      <t xml:space="preserve">4.5 mm </t>
    </r>
    <r>
      <rPr>
        <sz val="10"/>
        <color rgb="FF5A6472"/>
        <rFont val="Noto Sans CJK SC"/>
        <family val="2"/>
      </rPr>
      <t xml:space="preserve">以上（待與廠商確認）</t>
    </r>
  </si>
  <si>
    <r>
      <rPr>
        <sz val="10"/>
        <color rgb="FF000000"/>
        <rFont val="Arial"/>
        <family val="0"/>
        <charset val="1"/>
      </rPr>
      <t xml:space="preserve">PU </t>
    </r>
    <r>
      <rPr>
        <sz val="10"/>
        <color rgb="FF000000"/>
        <rFont val="Noto Sans CJK SC"/>
        <family val="2"/>
      </rPr>
      <t xml:space="preserve">運動地坪（</t>
    </r>
    <r>
      <rPr>
        <sz val="10"/>
        <color rgb="FF000000"/>
        <rFont val="Arial"/>
        <family val="0"/>
        <charset val="1"/>
      </rPr>
      <t xml:space="preserve">PU </t>
    </r>
    <r>
      <rPr>
        <sz val="10"/>
        <color rgb="FF000000"/>
        <rFont val="Noto Sans CJK SC"/>
        <family val="2"/>
      </rPr>
      <t xml:space="preserve">層）</t>
    </r>
  </si>
  <si>
    <r>
      <rPr>
        <sz val="10"/>
        <color rgb="FF000000"/>
        <rFont val="Arial"/>
        <family val="0"/>
        <charset val="1"/>
      </rPr>
      <t xml:space="preserve">PRO360 </t>
    </r>
    <r>
      <rPr>
        <sz val="10"/>
        <color rgb="FF000000"/>
        <rFont val="Noto Sans CJK SC"/>
        <family val="2"/>
      </rPr>
      <t xml:space="preserve">師傅報價行情</t>
    </r>
  </si>
  <si>
    <t xml:space="preserve">室內 PU 層，不含底層與面材</t>
  </si>
  <si>
    <t xml:space="preserve">PRO360</t>
  </si>
  <si>
    <t xml:space="preserve">行情價，非單一廠商報價</t>
  </si>
  <si>
    <t xml:space="preserve">專業 PVC 運動地板</t>
  </si>
  <si>
    <r>
      <rPr>
        <sz val="10"/>
        <color rgb="FF000000"/>
        <rFont val="Arial"/>
        <family val="0"/>
        <charset val="1"/>
      </rPr>
      <t xml:space="preserve">Enlio </t>
    </r>
    <r>
      <rPr>
        <sz val="10"/>
        <color rgb="FF000000"/>
        <rFont val="Noto Sans CJK SC"/>
        <family val="2"/>
      </rPr>
      <t xml:space="preserve">英利奧</t>
    </r>
  </si>
  <si>
    <t xml:space="preserve">國際品牌運動地板捲材</t>
  </si>
  <si>
    <t xml:space="preserve">台灣經銷</t>
  </si>
  <si>
    <t xml:space="preserve">需向經銷詢價</t>
  </si>
  <si>
    <t xml:space="preserve">Gerflor Taraflex</t>
  </si>
  <si>
    <t xml:space="preserve">原廠稱自 1976 年起為奧運地板供應商</t>
  </si>
  <si>
    <t xml:space="preserve">原廠</t>
  </si>
  <si>
    <t xml:space="preserve">需找台灣代理詢價</t>
  </si>
  <si>
    <t xml:space="preserve">國際賽事常用品牌</t>
  </si>
  <si>
    <t xml:space="preserve">地板施工（整平、彈性底層、鋪設、畫線）</t>
  </si>
  <si>
    <t xml:space="preserve">式</t>
  </si>
  <si>
    <t xml:space="preserve">地板廠商</t>
  </si>
  <si>
    <t xml:space="preserve">一定要另外報價</t>
  </si>
  <si>
    <t xml:space="preserve">網柱與球網</t>
  </si>
  <si>
    <t xml:space="preserve">移動式比賽排球柱（不鏽鋼管、大滾輪）</t>
  </si>
  <si>
    <t xml:space="preserve">必成體育</t>
  </si>
  <si>
    <t xml:space="preserve">一組，下單前需先詢問</t>
  </si>
  <si>
    <t xml:space="preserve">元/組</t>
  </si>
  <si>
    <t xml:space="preserve">移動式比賽排球柱（鋁管、大滾輪）</t>
  </si>
  <si>
    <t xml:space="preserve">多功能比賽排球柱（移動式）</t>
  </si>
  <si>
    <t xml:space="preserve">【專業器材】</t>
  </si>
  <si>
    <t xml:space="preserve">材質未標示</t>
  </si>
  <si>
    <t xml:space="preserve">不鏽鋼排球柱（7.6 cm 管徑）</t>
  </si>
  <si>
    <t xml:space="preserve">miracleshen</t>
  </si>
  <si>
    <t xml:space="preserve">一組，不含運費</t>
  </si>
  <si>
    <t xml:space="preserve">要確認能否調到男網 2.43 m／女網 2.24 m</t>
  </si>
  <si>
    <t xml:space="preserve">比賽用排球網＋標誌桿</t>
  </si>
  <si>
    <t xml:space="preserve">組</t>
  </si>
  <si>
    <t xml:space="preserve">網柱廠商</t>
  </si>
  <si>
    <t xml:space="preserve">跟網柱一起報價</t>
  </si>
  <si>
    <t xml:space="preserve">裁判台</t>
  </si>
  <si>
    <t xml:space="preserve">台</t>
  </si>
  <si>
    <t xml:space="preserve">球具</t>
  </si>
  <si>
    <t xml:space="preserve">比賽用球 V200W</t>
  </si>
  <si>
    <t xml:space="preserve">MIKASA</t>
  </si>
  <si>
    <r>
      <rPr>
        <sz val="10"/>
        <color rgb="FF000000"/>
        <rFont val="Arial"/>
        <family val="0"/>
        <charset val="1"/>
      </rPr>
      <t xml:space="preserve">FIVB </t>
    </r>
    <r>
      <rPr>
        <sz val="10"/>
        <color rgb="FF000000"/>
        <rFont val="Noto Sans CJK SC"/>
        <family val="2"/>
      </rPr>
      <t xml:space="preserve">公認比賽球，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號</t>
    </r>
  </si>
  <si>
    <t xml:space="preserve">元/顆</t>
  </si>
  <si>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拍賣</t>
    </r>
  </si>
  <si>
    <t xml:space="preserve">商品說明另寫 2,350 元，以賣家確認為準</t>
  </si>
  <si>
    <t xml:space="preserve">練習用排球 4035</t>
  </si>
  <si>
    <r>
      <rPr>
        <sz val="10"/>
        <color rgb="FF000000"/>
        <rFont val="Arial"/>
        <family val="0"/>
        <charset val="1"/>
      </rPr>
      <t xml:space="preserve">SUCCESS </t>
    </r>
    <r>
      <rPr>
        <sz val="10"/>
        <color rgb="FF000000"/>
        <rFont val="Noto Sans CJK SC"/>
        <family val="2"/>
      </rPr>
      <t xml:space="preserve">成功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</si>
  <si>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號一般排球</t>
    </r>
  </si>
  <si>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購物中心</t>
    </r>
  </si>
  <si>
    <t xml:space="preserve">新手課、臨打練習用</t>
  </si>
  <si>
    <t xml:space="preserve">移動式球車</t>
  </si>
  <si>
    <t xml:space="preserve">5Cgo</t>
  </si>
  <si>
    <t xml:space="preserve">鋼製、可拆、133×39.5×96 cm</t>
  </si>
  <si>
    <t xml:space="preserve">元/台</t>
  </si>
  <si>
    <t xml:space="preserve">原為籃球車，排球可用</t>
  </si>
  <si>
    <t xml:space="preserve">照明</t>
  </si>
  <si>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天井燈（撥碼 </t>
    </r>
    <r>
      <rPr>
        <sz val="10"/>
        <color rgb="FF000000"/>
        <rFont val="Arial"/>
        <family val="0"/>
        <charset val="1"/>
      </rPr>
      <t xml:space="preserve">120–200 W</t>
    </r>
    <r>
      <rPr>
        <sz val="10"/>
        <color rgb="FF000000"/>
        <rFont val="Noto Sans CJK SC"/>
        <family val="2"/>
      </rPr>
      <t xml:space="preserve">）</t>
    </r>
  </si>
  <si>
    <t xml:space="preserve">舞光 戰神 D-HBCS200DP</t>
  </si>
  <si>
    <t xml:space="preserve">瓦數可調</t>
  </si>
  <si>
    <t xml:space="preserve">元/盞</t>
  </si>
  <si>
    <r>
      <rPr>
        <sz val="10"/>
        <color rgb="FF000000"/>
        <rFont val="Arial"/>
        <family val="0"/>
        <charset val="1"/>
      </rPr>
      <t xml:space="preserve">momo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BigGo </t>
    </r>
    <r>
      <rPr>
        <sz val="10"/>
        <color rgb="FF000000"/>
        <rFont val="Noto Sans CJK SC"/>
        <family val="2"/>
      </rPr>
      <t xml:space="preserve">比價）</t>
    </r>
  </si>
  <si>
    <t xml:space="preserve">在比價頁搜尋型號</t>
  </si>
  <si>
    <t xml:space="preserve">燈具裝在場地兩側，避開發球正上方</t>
  </si>
  <si>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天井燈 </t>
    </r>
    <r>
      <rPr>
        <sz val="10"/>
        <color rgb="FF000000"/>
        <rFont val="Arial"/>
        <family val="0"/>
        <charset val="1"/>
      </rPr>
      <t xml:space="preserve">200 W</t>
    </r>
  </si>
  <si>
    <t xml:space="preserve">億光 星辰</t>
  </si>
  <si>
    <t xml:space="preserve">舞光 飛艦 D-HBAS200D</t>
  </si>
  <si>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購物中心（</t>
    </r>
    <r>
      <rPr>
        <sz val="10"/>
        <color rgb="FF000000"/>
        <rFont val="Arial"/>
        <family val="0"/>
        <charset val="1"/>
      </rPr>
      <t xml:space="preserve">BigGo </t>
    </r>
    <r>
      <rPr>
        <sz val="10"/>
        <color rgb="FF000000"/>
        <rFont val="Noto Sans CJK SC"/>
        <family val="2"/>
      </rPr>
      <t xml:space="preserve">比價）</t>
    </r>
  </si>
  <si>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天井燈 </t>
    </r>
    <r>
      <rPr>
        <sz val="10"/>
        <color rgb="FF000000"/>
        <rFont val="Arial"/>
        <family val="0"/>
        <charset val="1"/>
      </rPr>
      <t xml:space="preserve">150 W</t>
    </r>
  </si>
  <si>
    <t xml:space="preserve">台灣歐日光電 BA150C</t>
  </si>
  <si>
    <t xml:space="preserve">內建風扇，保固 1 年</t>
  </si>
  <si>
    <t xml:space="preserve">momo</t>
  </si>
  <si>
    <t xml:space="preserve">限時價，原價 4,400</t>
  </si>
  <si>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天井燈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200 W</t>
    </r>
  </si>
  <si>
    <r>
      <rPr>
        <sz val="10"/>
        <color rgb="FF000000"/>
        <rFont val="Arial"/>
        <family val="0"/>
        <charset val="1"/>
      </rPr>
      <t xml:space="preserve">Everlight </t>
    </r>
    <r>
      <rPr>
        <sz val="10"/>
        <color rgb="FF000000"/>
        <rFont val="Noto Sans CJK SC"/>
        <family val="2"/>
      </rPr>
      <t xml:space="preserve">億光</t>
    </r>
  </si>
  <si>
    <t xml:space="preserve">價格區間 2,890–3,920</t>
  </si>
  <si>
    <t xml:space="preserve">取區間上限估</t>
  </si>
  <si>
    <t xml:space="preserve">通風</t>
  </si>
  <si>
    <r>
      <rPr>
        <sz val="10"/>
        <color rgb="FF000000"/>
        <rFont val="Arial"/>
        <family val="0"/>
        <charset val="1"/>
      </rPr>
      <t xml:space="preserve">DC </t>
    </r>
    <r>
      <rPr>
        <sz val="10"/>
        <color rgb="FF000000"/>
        <rFont val="Noto Sans CJK SC"/>
        <family val="2"/>
      </rPr>
      <t xml:space="preserve">吊扇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吋（約 </t>
    </r>
    <r>
      <rPr>
        <sz val="10"/>
        <color rgb="FF000000"/>
        <rFont val="Arial"/>
        <family val="0"/>
        <charset val="1"/>
      </rPr>
      <t xml:space="preserve">2.5 m</t>
    </r>
    <r>
      <rPr>
        <sz val="10"/>
        <color rgb="FF000000"/>
        <rFont val="Noto Sans CJK SC"/>
        <family val="2"/>
      </rPr>
      <t xml:space="preserve">）</t>
    </r>
  </si>
  <si>
    <t xml:space="preserve">VENTO MEGA</t>
  </si>
  <si>
    <r>
      <rPr>
        <sz val="10"/>
        <color rgb="FF000000"/>
        <rFont val="Arial"/>
        <family val="0"/>
        <charset val="1"/>
      </rPr>
      <t xml:space="preserve">momo</t>
    </r>
    <r>
      <rPr>
        <sz val="10"/>
        <color rgb="FF000000"/>
        <rFont val="Noto Sans CJK SC"/>
        <family val="2"/>
      </rPr>
      <t xml:space="preserve">（飛比比價）</t>
    </r>
  </si>
  <si>
    <t xml:space="preserve">在比價頁搜尋型號；不含安裝</t>
  </si>
  <si>
    <t xml:space="preserve">巨型工業吊扇 100 吋</t>
  </si>
  <si>
    <t xml:space="preserve">宅造印象</t>
  </si>
  <si>
    <t xml:space="preserve">蝦皮商城（飛比比價）</t>
  </si>
  <si>
    <r>
      <rPr>
        <sz val="10"/>
        <color rgb="FF000000"/>
        <rFont val="Arial"/>
        <family val="0"/>
        <charset val="1"/>
      </rPr>
      <t xml:space="preserve">HVLS </t>
    </r>
    <r>
      <rPr>
        <sz val="10"/>
        <color rgb="FF000000"/>
        <rFont val="Noto Sans CJK SC"/>
        <family val="2"/>
      </rPr>
      <t xml:space="preserve">大型工業吊扇 </t>
    </r>
    <r>
      <rPr>
        <sz val="10"/>
        <color rgb="FF000000"/>
        <rFont val="Arial"/>
        <family val="0"/>
        <charset val="1"/>
      </rPr>
      <t xml:space="preserve">7.3 m</t>
    </r>
  </si>
  <si>
    <t xml:space="preserve">工業風扇廠商</t>
  </si>
  <si>
    <t xml:space="preserve">網拍 1,207–5,280 元多為訂金或零件，請廠商連安裝報價</t>
  </si>
  <si>
    <t xml:space="preserve">安全</t>
  </si>
  <si>
    <t xml:space="preserve">AED</t>
  </si>
  <si>
    <t xml:space="preserve">凱樂斯 HeartPlus II NT-381</t>
  </si>
  <si>
    <t xml:space="preserve">國產，區間 6.5–7 萬</t>
  </si>
  <si>
    <t xml:space="preserve">經銷商</t>
  </si>
  <si>
    <t xml:space="preserve">取區間下限；另有貼片、電池耗材</t>
  </si>
  <si>
    <r>
      <rPr>
        <sz val="10"/>
        <color rgb="FF000000"/>
        <rFont val="Arial"/>
        <family val="0"/>
        <charset val="1"/>
      </rPr>
      <t xml:space="preserve">NANOOM HeartPlus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HeartResQ</t>
    </r>
  </si>
  <si>
    <t xml:space="preserve">區間 7–8 萬</t>
  </si>
  <si>
    <t xml:space="preserve">取區間下限</t>
  </si>
  <si>
    <t xml:space="preserve">Philips HeartStart</t>
  </si>
  <si>
    <t xml:space="preserve">區間 8–10 萬</t>
  </si>
  <si>
    <t xml:space="preserve">Defibtech Lifeline</t>
  </si>
  <si>
    <t xml:space="preserve">LIFEPAK CR2</t>
  </si>
  <si>
    <t xml:space="preserve">區間 8–15 萬</t>
  </si>
  <si>
    <r>
      <rPr>
        <sz val="10"/>
        <color rgb="FF000000"/>
        <rFont val="Arial"/>
        <family val="0"/>
        <charset val="1"/>
      </rPr>
      <t xml:space="preserve">AED </t>
    </r>
    <r>
      <rPr>
        <sz val="10"/>
        <color rgb="FF000000"/>
        <rFont val="Noto Sans CJK SC"/>
        <family val="2"/>
      </rPr>
      <t xml:space="preserve">壁掛收納箱</t>
    </r>
  </si>
  <si>
    <t xml:space="preserve">區間 8,000–25,000</t>
  </si>
  <si>
    <t xml:space="preserve">元/個</t>
  </si>
  <si>
    <t xml:space="preserve">系統</t>
  </si>
  <si>
    <t xml:space="preserve">線上預約報名系統</t>
  </si>
  <si>
    <t xml:space="preserve">booknow</t>
  </si>
  <si>
    <t xml:space="preserve">月</t>
  </si>
  <si>
    <t xml:space="preserve">洽詢</t>
  </si>
  <si>
    <t xml:space="preserve">費用待洽詢</t>
  </si>
  <si>
    <t xml:space="preserve">龍蝦排球館在用</t>
  </si>
  <si>
    <t xml:space="preserve">場館報名系統</t>
  </si>
  <si>
    <t xml:space="preserve">愛來運動 Aligh</t>
  </si>
  <si>
    <t xml:space="preserve">新莊 259 排球館在用</t>
  </si>
  <si>
    <t xml:space="preserve">運動地板方案比較（材料費估算，元）</t>
  </si>
  <si>
    <t xml:space="preserve">方案</t>
  </si>
  <si>
    <t xml:space="preserve">單價下限（元/㎡）</t>
  </si>
  <si>
    <t xml:space="preserve">單價上限（元/㎡）</t>
  </si>
  <si>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面材料費（下限）</t>
    </r>
  </si>
  <si>
    <r>
      <rPr>
        <b val="true"/>
        <sz val="10"/>
        <color rgb="FFFFFFFF"/>
        <rFont val="Arial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面材料費（上限）</t>
    </r>
  </si>
  <si>
    <t xml:space="preserve">優點</t>
  </si>
  <si>
    <t xml:space="preserve">要注意</t>
  </si>
  <si>
    <t xml:space="preserve">網拍 PVC 運動地膠（3.5–4.5 mm）</t>
  </si>
  <si>
    <t xml:space="preserve">便宜、捲材好鋪、可自選顏色</t>
  </si>
  <si>
    <t xml:space="preserve">品質落差大、多半沒有運動認證或彈性底層資料；營業場館耐用度未知</t>
  </si>
  <si>
    <r>
      <rPr>
        <sz val="10"/>
        <color rgb="FF000000"/>
        <rFont val="Arial"/>
        <family val="0"/>
        <charset val="1"/>
      </rPr>
      <t xml:space="preserve">PU </t>
    </r>
    <r>
      <rPr>
        <sz val="10"/>
        <color rgb="FF000000"/>
        <rFont val="Noto Sans CJK SC"/>
        <family val="2"/>
      </rPr>
      <t xml:space="preserve">運動地坪（只算 </t>
    </r>
    <r>
      <rPr>
        <sz val="10"/>
        <color rgb="FF000000"/>
        <rFont val="Arial"/>
        <family val="0"/>
        <charset val="1"/>
      </rPr>
      <t xml:space="preserve">PU </t>
    </r>
    <r>
      <rPr>
        <sz val="10"/>
        <color rgb="FF000000"/>
        <rFont val="Noto Sans CJK SC"/>
        <family val="2"/>
      </rPr>
      <t xml:space="preserve">層）</t>
    </r>
  </si>
  <si>
    <t xml:space="preserve">無接縫、可直接畫線</t>
  </si>
  <si>
    <t xml:space="preserve">需要平整乾燥的底層；施工期較長、做了搬不走；上限要看底層與彈性層</t>
  </si>
  <si>
    <t xml:space="preserve">專業 PVC 運動地板（Enlio、Taraflex 等）</t>
  </si>
  <si>
    <t xml:space="preserve">有運動地板系統與彈性層，國際賽事常用</t>
  </si>
  <si>
    <t xml:space="preserve">價格要向代理商詢價，通常含專業施工</t>
  </si>
  <si>
    <t xml:space="preserve">木地板（運動用）</t>
  </si>
  <si>
    <t xml:space="preserve">腳感最好</t>
  </si>
  <si>
    <t xml:space="preserve">最貴，怕潮濕；倉庫改建要注意防潮</t>
  </si>
  <si>
    <t xml:space="preserve">其他球館用什麼（目前查得到的）</t>
  </si>
  <si>
    <t xml:space="preserve">球館</t>
  </si>
  <si>
    <t xml:space="preserve">地點</t>
  </si>
  <si>
    <t xml:space="preserve">已知的場地資訊</t>
  </si>
  <si>
    <t xml:space="preserve">資料來源</t>
  </si>
  <si>
    <t xml:space="preserve">可利's 排球小棧</t>
  </si>
  <si>
    <t xml:space="preserve">寶山鄉大崎一路（近竹科）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</si>
  <si>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評論提到 </t>
    </r>
    <r>
      <rPr>
        <sz val="10"/>
        <color rgb="FF000000"/>
        <rFont val="Arial"/>
        <family val="0"/>
        <charset val="1"/>
      </rPr>
      <t xml:space="preserve">PU </t>
    </r>
    <r>
      <rPr>
        <sz val="10"/>
        <color rgb="FF000000"/>
        <rFont val="Noto Sans CJK SC"/>
        <family val="2"/>
      </rPr>
      <t xml:space="preserve">地板、有冷氣</t>
    </r>
  </si>
  <si>
    <r>
      <rPr>
        <sz val="10"/>
        <color rgb="FF5A6472"/>
        <rFont val="Arial"/>
        <family val="0"/>
        <charset val="1"/>
      </rPr>
      <t xml:space="preserve">Google </t>
    </r>
    <r>
      <rPr>
        <sz val="10"/>
        <color rgb="FF5A6472"/>
        <rFont val="Noto Sans CJK SC"/>
        <family val="2"/>
      </rPr>
      <t xml:space="preserve">地圖評論</t>
    </r>
  </si>
  <si>
    <t xml:space="preserve">龍蝦排球館</t>
  </si>
  <si>
    <t xml:space="preserve">寶山鄉大崎一路</t>
  </si>
  <si>
    <t xml:space="preserve">打球區 25 × 18 m、休息區 5 m 深；評論提到挑高、有冷氣</t>
  </si>
  <si>
    <t xml:space="preserve">官網、Google 地圖評論</t>
  </si>
  <si>
    <r>
      <rPr>
        <sz val="10"/>
        <color rgb="FF000000"/>
        <rFont val="Arial"/>
        <family val="0"/>
        <charset val="1"/>
      </rPr>
      <t xml:space="preserve">Volley Chill × </t>
    </r>
    <r>
      <rPr>
        <sz val="10"/>
        <color rgb="FF000000"/>
        <rFont val="Noto Sans CJK SC"/>
        <family val="2"/>
      </rPr>
      <t xml:space="preserve">排丘</t>
    </r>
  </si>
  <si>
    <t xml:space="preserve">評論提到高度夠跳發；鋼柱和金屬邊角沒有包防撞</t>
  </si>
  <si>
    <t xml:space="preserve">就醬瘋 JCV</t>
  </si>
  <si>
    <t xml:space="preserve">園區二路（門牌屬寶山鄉大崎村）</t>
  </si>
  <si>
    <t xml:space="preserve">評論提到挑高、明亮，也有人覺得燈太亮</t>
  </si>
  <si>
    <t xml:space="preserve">啪！排郎</t>
  </si>
  <si>
    <t xml:space="preserve">竹北市中正西路</t>
  </si>
  <si>
    <t xml:space="preserve">地板資訊待踩點確認</t>
  </si>
  <si>
    <r>
      <rPr>
        <sz val="10"/>
        <color rgb="FF5A6472"/>
        <rFont val="Arial"/>
        <family val="0"/>
        <charset val="1"/>
      </rPr>
      <t xml:space="preserve">Google </t>
    </r>
    <r>
      <rPr>
        <sz val="10"/>
        <color rgb="FF5A6472"/>
        <rFont val="Noto Sans CJK SC"/>
        <family val="2"/>
      </rPr>
      <t xml:space="preserve">地圖</t>
    </r>
  </si>
  <si>
    <t xml:space="preserve">新莊 259 排球館（參考）</t>
  </si>
  <si>
    <t xml:space="preserve">新北市新莊區</t>
  </si>
  <si>
    <t xml:space="preserve">場地 17 × 24 m，兩側緩衝 2.7／5.3 m</t>
  </si>
  <si>
    <t xml:space="preserve">愛來運動場館頁</t>
  </si>
  <si>
    <t xml:space="preserve">踩點時請順便記錄：地板品牌與厚度、哪家廠商施工、淨高、燈具位置、通風方式。</t>
  </si>
  <si>
    <t xml:space="preserve">廠商</t>
  </si>
  <si>
    <t xml:space="preserve">聯絡人</t>
  </si>
  <si>
    <t xml:space="preserve">電話／LINE</t>
  </si>
  <si>
    <t xml:space="preserve">報價日期</t>
  </si>
  <si>
    <t xml:space="preserve">報價金額（元）</t>
  </si>
  <si>
    <t xml:space="preserve">含稅？</t>
  </si>
  <si>
    <t xml:space="preserve">含施工？</t>
  </si>
  <si>
    <t xml:space="preserve">保固</t>
  </si>
  <si>
    <t xml:space="preserve">工期</t>
  </si>
  <si>
    <t xml:space="preserve">付款條件</t>
  </si>
  <si>
    <t xml:space="preserve">報價單連結</t>
  </si>
  <si>
    <t xml:space="preserve">〇〇運動地板有限公司</t>
  </si>
  <si>
    <t xml:space="preserve">王先生</t>
  </si>
  <si>
    <t xml:space="preserve">0912-345-678</t>
  </si>
  <si>
    <t xml:space="preserve">2026/11/05</t>
  </si>
  <si>
    <t xml:space="preserve">是</t>
  </si>
  <si>
    <r>
      <rPr>
        <i val="true"/>
        <sz val="10"/>
        <color rgb="FF8A8F98"/>
        <rFont val="Arial"/>
        <family val="0"/>
        <charset val="1"/>
      </rPr>
      <t xml:space="preserve">2 </t>
    </r>
    <r>
      <rPr>
        <i val="true"/>
        <sz val="10"/>
        <color rgb="FF8A8F98"/>
        <rFont val="Noto Sans CJK SC"/>
        <family val="2"/>
      </rPr>
      <t xml:space="preserve">年</t>
    </r>
  </si>
  <si>
    <r>
      <rPr>
        <i val="true"/>
        <sz val="10"/>
        <color rgb="FF8A8F98"/>
        <rFont val="Arial"/>
        <family val="0"/>
        <charset val="1"/>
      </rPr>
      <t xml:space="preserve">7 </t>
    </r>
    <r>
      <rPr>
        <i val="true"/>
        <sz val="10"/>
        <color rgb="FF8A8F98"/>
        <rFont val="Noto Sans CJK SC"/>
        <family val="2"/>
      </rPr>
      <t xml:space="preserve">天</t>
    </r>
  </si>
  <si>
    <t xml:space="preserve">訂金 30%</t>
  </si>
  <si>
    <t xml:space="preserve">範例列，填完第一筆後可刪除</t>
  </si>
  <si>
    <t xml:space="preserve">照明（含配線）</t>
  </si>
  <si>
    <t xml:space="preserve">通風／吊扇（含安裝）</t>
  </si>
  <si>
    <t xml:space="preserve">冷氣</t>
  </si>
  <si>
    <t xml:space="preserve">廁所、淋浴、更衣（水電裝修）</t>
  </si>
  <si>
    <t xml:space="preserve">網柱、球網、裁判台</t>
  </si>
  <si>
    <t xml:space="preserve">法規變更（建築師）</t>
  </si>
  <si>
    <t xml:space="preserve">消防設備</t>
  </si>
  <si>
    <t xml:space="preserve">門禁、監視器</t>
  </si>
  <si>
    <t xml:space="preserve">預約系統</t>
  </si>
  <si>
    <t xml:space="preserve">公共意外責任險</t>
  </si>
  <si>
    <t xml:space="preserve">大新竹排球人口推估（依年齡層、依地區）</t>
  </si>
  <si>
    <t xml:space="preserve">方法：人口 × 年齡層比例 × 打排球比例 × 每月固定打比例 × 會付費去私人館比例。黃底都是假設值，問卷或官方年齡資料出來後直接替換。</t>
  </si>
  <si>
    <t xml:space="preserve">年齡層</t>
  </si>
  <si>
    <t xml:space="preserve">佔總人口比例</t>
  </si>
  <si>
    <t xml:space="preserve">有在打排球的比例</t>
  </si>
  <si>
    <t xml:space="preserve">其中每月固定打</t>
  </si>
  <si>
    <t xml:space="preserve">其中會付費去私人館</t>
  </si>
  <si>
    <r>
      <rPr>
        <sz val="10"/>
        <color rgb="FF000000"/>
        <rFont val="Arial"/>
        <family val="0"/>
        <charset val="1"/>
      </rPr>
      <t xml:space="preserve">15–24 </t>
    </r>
    <r>
      <rPr>
        <sz val="10"/>
        <color rgb="FF000000"/>
        <rFont val="Noto Sans CJK SC"/>
        <family val="2"/>
      </rPr>
      <t xml:space="preserve">歲</t>
    </r>
  </si>
  <si>
    <t xml:space="preserve">學生多，常在學校或野場免費打，付費比例較低</t>
  </si>
  <si>
    <r>
      <rPr>
        <sz val="10"/>
        <color rgb="FF000000"/>
        <rFont val="Arial"/>
        <family val="0"/>
        <charset val="1"/>
      </rPr>
      <t xml:space="preserve">25–34 </t>
    </r>
    <r>
      <rPr>
        <sz val="10"/>
        <color rgb="FF000000"/>
        <rFont val="Noto Sans CJK SC"/>
        <family val="2"/>
      </rPr>
      <t xml:space="preserve">歲</t>
    </r>
  </si>
  <si>
    <t xml:space="preserve">竹科上班族主力，最願意付費包場、臨打</t>
  </si>
  <si>
    <r>
      <rPr>
        <sz val="10"/>
        <color rgb="FF000000"/>
        <rFont val="Arial"/>
        <family val="0"/>
        <charset val="1"/>
      </rPr>
      <t xml:space="preserve">35–44 </t>
    </r>
    <r>
      <rPr>
        <sz val="10"/>
        <color rgb="FF000000"/>
        <rFont val="Noto Sans CJK SC"/>
        <family val="2"/>
      </rPr>
      <t xml:space="preserve">歲</t>
    </r>
  </si>
  <si>
    <t xml:space="preserve">新竹這個年齡層人口多（扶幼比全國前二），但時間較少</t>
  </si>
  <si>
    <r>
      <rPr>
        <sz val="10"/>
        <color rgb="FF000000"/>
        <rFont val="Arial"/>
        <family val="0"/>
        <charset val="1"/>
      </rPr>
      <t xml:space="preserve">45–64 </t>
    </r>
    <r>
      <rPr>
        <sz val="10"/>
        <color rgb="FF000000"/>
        <rFont val="Noto Sans CJK SC"/>
        <family val="2"/>
      </rPr>
      <t xml:space="preserve">歲</t>
    </r>
  </si>
  <si>
    <t xml:space="preserve">人數多但打排球比例低</t>
  </si>
  <si>
    <t xml:space="preserve">每人換算：付費固定球友比例</t>
  </si>
  <si>
    <t xml:space="preserve">年齡比例參考 2020 普查：新竹縣 15–64 歲約 72%、新竹市約 74%；15–64 再細分為假設值，可用內政部五歲年齡組資料替換</t>
  </si>
  <si>
    <t xml:space="preserve">每人換算：有在打排球比例</t>
  </si>
  <si>
    <t xml:space="preserve">每人換算：每月固定打比例</t>
  </si>
  <si>
    <t xml:space="preserve">地區</t>
  </si>
  <si>
    <r>
      <rPr>
        <b val="true"/>
        <sz val="10"/>
        <color rgb="FFFFFFFF"/>
        <rFont val="Arial"/>
        <family val="0"/>
        <charset val="1"/>
      </rPr>
      <t xml:space="preserve">2020 </t>
    </r>
    <r>
      <rPr>
        <b val="true"/>
        <sz val="10"/>
        <color rgb="FFFFFFFF"/>
        <rFont val="Noto Sans CJK SC"/>
        <family val="2"/>
      </rPr>
      <t xml:space="preserve">普查人口</t>
    </r>
  </si>
  <si>
    <t xml:space="preserve">最新戶籍人口（有資料者）</t>
  </si>
  <si>
    <t xml:space="preserve">私人排球館（面）</t>
  </si>
  <si>
    <t xml:space="preserve">有在打排球（推估）</t>
  </si>
  <si>
    <t xml:space="preserve">每月固定打（推估）</t>
  </si>
  <si>
    <t xml:space="preserve">付費固定球友（推估）</t>
  </si>
  <si>
    <t xml:space="preserve">每面場對應球友</t>
  </si>
  <si>
    <t xml:space="preserve">新竹縣 竹北市</t>
  </si>
  <si>
    <t xml:space="preserve">新竹縣 竹東鎮</t>
  </si>
  <si>
    <t xml:space="preserve">新竹縣 湖口鄉</t>
  </si>
  <si>
    <t xml:space="preserve">新竹縣 新豐鄉</t>
  </si>
  <si>
    <t xml:space="preserve">新竹縣 新埔鎮</t>
  </si>
  <si>
    <t xml:space="preserve">新竹縣 關西鎮</t>
  </si>
  <si>
    <t xml:space="preserve">新竹縣 芎林鄉</t>
  </si>
  <si>
    <t xml:space="preserve">新竹縣 寶山鄉</t>
  </si>
  <si>
    <t xml:space="preserve">新竹縣 橫山鄉</t>
  </si>
  <si>
    <t xml:space="preserve">新竹縣 北埔鄉</t>
  </si>
  <si>
    <t xml:space="preserve">新竹縣 尖石鄉</t>
  </si>
  <si>
    <t xml:space="preserve">新竹縣 峨眉鄉</t>
  </si>
  <si>
    <t xml:space="preserve">新竹縣 五峰鄉</t>
  </si>
  <si>
    <t xml:space="preserve">新竹市 東區</t>
  </si>
  <si>
    <t xml:space="preserve">新竹市 北區</t>
  </si>
  <si>
    <t xml:space="preserve">新竹市 香山區</t>
  </si>
  <si>
    <t xml:space="preserve">大新竹合計</t>
  </si>
  <si>
    <t xml:space="preserve">大新竹依年齡層拆解</t>
  </si>
  <si>
    <t xml:space="preserve">人口（推估）</t>
  </si>
  <si>
    <t xml:space="preserve">有在打排球</t>
  </si>
  <si>
    <t xml:space="preserve">每月固定打</t>
  </si>
  <si>
    <t xml:space="preserve">付費固定球友</t>
  </si>
  <si>
    <t xml:space="preserve">用現有球館容量校準（供給端）</t>
  </si>
  <si>
    <t xml:space="preserve">新竹私人球館面數</t>
  </si>
  <si>
    <r>
      <rPr>
        <sz val="10"/>
        <color rgb="FF5A6472"/>
        <rFont val="Arial"/>
        <family val="0"/>
        <charset val="1"/>
      </rPr>
      <t xml:space="preserve">Threads </t>
    </r>
    <r>
      <rPr>
        <sz val="10"/>
        <color rgb="FF5A6472"/>
        <rFont val="Noto Sans CJK SC"/>
        <family val="2"/>
      </rPr>
      <t xml:space="preserve">球友統計：可利 </t>
    </r>
    <r>
      <rPr>
        <sz val="10"/>
        <color rgb="FF5A6472"/>
        <rFont val="Arial"/>
        <family val="0"/>
        <charset val="1"/>
      </rPr>
      <t xml:space="preserve">5</t>
    </r>
    <r>
      <rPr>
        <sz val="10"/>
        <color rgb="FF5A6472"/>
        <rFont val="Noto Sans CJK SC"/>
        <family val="2"/>
      </rPr>
      <t xml:space="preserve">、龍蝦 </t>
    </r>
    <r>
      <rPr>
        <sz val="10"/>
        <color rgb="FF5A6472"/>
        <rFont val="Arial"/>
        <family val="0"/>
        <charset val="1"/>
      </rPr>
      <t xml:space="preserve">2</t>
    </r>
    <r>
      <rPr>
        <sz val="10"/>
        <color rgb="FF5A6472"/>
        <rFont val="Noto Sans CJK SC"/>
        <family val="2"/>
      </rPr>
      <t xml:space="preserve">、排丘 </t>
    </r>
    <r>
      <rPr>
        <sz val="10"/>
        <color rgb="FF5A6472"/>
        <rFont val="Arial"/>
        <family val="0"/>
        <charset val="1"/>
      </rPr>
      <t xml:space="preserve">1</t>
    </r>
    <r>
      <rPr>
        <sz val="10"/>
        <color rgb="FF5A6472"/>
        <rFont val="Noto Sans CJK SC"/>
        <family val="2"/>
      </rPr>
      <t xml:space="preserve">、排郎 </t>
    </r>
    <r>
      <rPr>
        <sz val="10"/>
        <color rgb="FF5A6472"/>
        <rFont val="Arial"/>
        <family val="0"/>
        <charset val="1"/>
      </rPr>
      <t xml:space="preserve">1</t>
    </r>
    <r>
      <rPr>
        <sz val="10"/>
        <color rgb="FF5A6472"/>
        <rFont val="Noto Sans CJK SC"/>
        <family val="2"/>
      </rPr>
      <t xml:space="preserve">、醬瘋 </t>
    </r>
    <r>
      <rPr>
        <sz val="10"/>
        <color rgb="FF5A6472"/>
        <rFont val="Arial"/>
        <family val="0"/>
        <charset val="1"/>
      </rPr>
      <t xml:space="preserve">1</t>
    </r>
  </si>
  <si>
    <t xml:space="preserve">每面每月時段數（3 小時一場）</t>
  </si>
  <si>
    <t xml:space="preserve">平日 5 場＋假日 5 場</t>
  </si>
  <si>
    <t xml:space="preserve">平均滿場率</t>
  </si>
  <si>
    <t xml:space="preserve">假設值</t>
  </si>
  <si>
    <t xml:space="preserve">每場人數</t>
  </si>
  <si>
    <t xml:space="preserve">兩隊 12 人＋替補</t>
  </si>
  <si>
    <t xml:space="preserve">每位固定球友每月打幾次</t>
  </si>
  <si>
    <t xml:space="preserve">供給端推估：固定付費球友</t>
  </si>
  <si>
    <t xml:space="preserve">球館一個月能服務的人數</t>
  </si>
  <si>
    <t xml:space="preserve">需求端推估：固定付費球友</t>
  </si>
  <si>
    <t xml:space="preserve">上方地區表合計</t>
  </si>
  <si>
    <t xml:space="preserve">兩者比例（需求／供給）</t>
  </si>
  <si>
    <t xml:space="preserve">接近 1 代表假設大致合理</t>
  </si>
  <si>
    <t xml:space="preserve">竹東、芎林開 1 面場：需要吸引多少在地球友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</si>
  <si>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面場損益兩平：尖峰滿場率</t>
    </r>
  </si>
  <si>
    <t xml:space="preserve">取自簡報財務試算（離峰 20%）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</si>
  <si>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面場損益兩平：離峰滿場率</t>
    </r>
  </si>
  <si>
    <t xml:space="preserve">每月需要的打球人次</t>
  </si>
  <si>
    <t xml:space="preserve">尖峰 54 場、離峰 96 場 × 每場人數</t>
  </si>
  <si>
    <t xml:space="preserve">需要的固定付費球友</t>
  </si>
  <si>
    <t xml:space="preserve">竹東＋芎林 付費固定球友（推估）</t>
  </si>
  <si>
    <t xml:space="preserve">大竹東（含橫山、北埔、峨眉、尖石、五峰）</t>
  </si>
  <si>
    <t xml:space="preserve">需吸引竹東＋芎林球友比例</t>
  </si>
  <si>
    <t xml:space="preserve">超過 50% 代表很依賴外地客</t>
  </si>
  <si>
    <t xml:space="preserve">需吸引大竹東球友比例</t>
  </si>
  <si>
    <t xml:space="preserve">新竹縣各鄉鎮 2020 普查人口、年齡結構</t>
  </si>
  <si>
    <t xml:space="preserve">新竹市各區 2020 普查人口、年齡結構</t>
  </si>
  <si>
    <t xml:space="preserve">竹北、竹東、湖口最新戶籍人口（2025/10–11）</t>
  </si>
  <si>
    <t xml:space="preserve">新竹縣市扶幼比全國前二（2026/04）</t>
  </si>
  <si>
    <t xml:space="preserve">新竹私人排球館面數（球友統計）</t>
  </si>
  <si>
    <t xml:space="preserve">內政部五歲年齡組人口（可替換年齡比例）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</si>
</sst>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;\(#,##0\);\-"/>
    <numFmt numFmtId="167" formatCode="0.0%"/>
    <numFmt numFmtId="168" formatCode="0.000%"/>
    <numFmt numFmtId="169" formatCode="0.00%"/>
    <numFmt numFmtId="170" formatCode="0"/>
    <numFmt numFmtId="171" formatCode="0%"/>
    <numFmt numFmtId="172" formatCode="0.0"/>
    <numFmt numFmtId="173" formatCode="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Noto Sans CJK SC"/>
      <family val="2"/>
      <charset val="1"/>
    </font>
    <font>
      <i val="true"/>
      <sz val="10"/>
      <color rgb="FF5A6472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4"/>
      <color rgb="FF00000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5A6472"/>
      <name val="Arial"/>
      <family val="0"/>
      <charset val="1"/>
    </font>
    <font>
      <sz val="10"/>
      <color rgb="FF5A6472"/>
      <name val="Noto Sans CJK SC"/>
      <family val="2"/>
    </font>
    <font>
      <sz val="10"/>
      <color rgb="FF5A6472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0000FF"/>
      <name val="Arial"/>
      <family val="0"/>
      <charset val="1"/>
    </font>
    <font>
      <u val="single"/>
      <sz val="10"/>
      <color rgb="FF0563C1"/>
      <name val="Noto Sans CJK SC"/>
      <family val="2"/>
      <charset val="1"/>
    </font>
    <font>
      <b val="true"/>
      <sz val="12"/>
      <color rgb="FF000000"/>
      <name val="Noto Sans CJK SC"/>
      <family val="2"/>
      <charset val="1"/>
    </font>
    <font>
      <i val="true"/>
      <sz val="10"/>
      <color rgb="FF8A8F98"/>
      <name val="Noto Sans CJK SC"/>
      <family val="2"/>
      <charset val="1"/>
    </font>
    <font>
      <i val="true"/>
      <sz val="10"/>
      <color rgb="FF8A8F98"/>
      <name val="Arial"/>
      <family val="0"/>
      <charset val="1"/>
    </font>
    <font>
      <i val="true"/>
      <sz val="10"/>
      <color rgb="FF8A8F98"/>
      <name val="Noto Sans CJK SC"/>
      <family val="2"/>
    </font>
    <font>
      <sz val="10"/>
      <name val="Noto Sans CJK SC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3233A"/>
        <bgColor rgb="FF003366"/>
      </patternFill>
    </fill>
    <fill>
      <patternFill patternType="solid">
        <fgColor rgb="FFF2E3B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323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5A647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4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E3B3"/>
      <rgbColor rgb="FF3366FF"/>
      <rgbColor rgb="FF33CCCC"/>
      <rgbColor rgb="FF99CC00"/>
      <rgbColor rgb="FFFFCC00"/>
      <rgbColor rgb="FFFF9900"/>
      <rgbColor rgb="FFFF6600"/>
      <rgbColor rgb="FF5A6472"/>
      <rgbColor rgb="FF8A8F98"/>
      <rgbColor rgb="FF003366"/>
      <rgbColor rgb="FF339966"/>
      <rgbColor rgb="FF003300"/>
      <rgbColor rgb="FF333300"/>
      <rgbColor rgb="FF993300"/>
      <rgbColor rgb="FF993366"/>
      <rgbColor rgb="FF333399"/>
      <rgbColor rgb="FF13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rakuten.com.tw/shop/mengli005/product/e6z82c2oi/" TargetMode="External"/><Relationship Id="rId2" Type="http://schemas.openxmlformats.org/officeDocument/2006/relationships/hyperlink" Target="https://shopee.tw/product/24532501/55253897635" TargetMode="External"/><Relationship Id="rId3" Type="http://schemas.openxmlformats.org/officeDocument/2006/relationships/hyperlink" Target="https://shopee.tw/product/1712019576/45606880245" TargetMode="External"/><Relationship Id="rId4" Type="http://schemas.openxmlformats.org/officeDocument/2006/relationships/hyperlink" Target="https://www.pro360.com.tw/price/pu_floor" TargetMode="External"/><Relationship Id="rId5" Type="http://schemas.openxmlformats.org/officeDocument/2006/relationships/hyperlink" Target="https://www.tcvfloor.com.tw/pdt106101.html" TargetMode="External"/><Relationship Id="rId6" Type="http://schemas.openxmlformats.org/officeDocument/2006/relationships/hyperlink" Target="https://www.gerflor.co.uk/pages/taraflex-champions-sports-flooring" TargetMode="External"/><Relationship Id="rId7" Type="http://schemas.openxmlformats.org/officeDocument/2006/relationships/hyperlink" Target="https://www.findprice.com.tw/go/bvecxgf6h29/?s=0&amp;t=5&amp;f=d&amp;k=&#25490;&#29699;&#26609;" TargetMode="External"/><Relationship Id="rId8" Type="http://schemas.openxmlformats.org/officeDocument/2006/relationships/hyperlink" Target="https://www.findprice.com.tw/go/bbmtrwjsksk/?s=0&amp;t=5&amp;f=d&amp;k=&#25490;&#29699;&#26609;" TargetMode="External"/><Relationship Id="rId9" Type="http://schemas.openxmlformats.org/officeDocument/2006/relationships/hyperlink" Target="https://www.findprice.com.tw/go/b8rt27qxs7v/?s=0&amp;t=5&amp;f=d&amp;k=&#25490;&#29699;&#26609;" TargetMode="External"/><Relationship Id="rId10" Type="http://schemas.openxmlformats.org/officeDocument/2006/relationships/hyperlink" Target="https://www.findprice.com.tw/go/bq3nmqu9fnv/?s=0&amp;t=5&amp;f=d&amp;k=&#25490;&#29699;&#26609;" TargetMode="External"/><Relationship Id="rId11" Type="http://schemas.openxmlformats.org/officeDocument/2006/relationships/hyperlink" Target="https://tw.bid.yahoo.com/item/101034460886" TargetMode="External"/><Relationship Id="rId12" Type="http://schemas.openxmlformats.org/officeDocument/2006/relationships/hyperlink" Target="https://tw.buy.yahoo.com/gdsale/SUCCESS-&#25104;&#21151;-5&#34399;&#19968;&#33324;&#25490;&#29699;-&#20491;-4035-11914929.html" TargetMode="External"/><Relationship Id="rId13" Type="http://schemas.openxmlformats.org/officeDocument/2006/relationships/hyperlink" Target="https://tw.bid.yahoo.com/item/101579029525" TargetMode="External"/><Relationship Id="rId14" Type="http://schemas.openxmlformats.org/officeDocument/2006/relationships/hyperlink" Target="https://biggo.com.tw/s/&#22825;&#20117;&#29128;+200w" TargetMode="External"/><Relationship Id="rId15" Type="http://schemas.openxmlformats.org/officeDocument/2006/relationships/hyperlink" Target="https://biggo.com.tw/s/&#22825;&#20117;&#29128;+200w" TargetMode="External"/><Relationship Id="rId16" Type="http://schemas.openxmlformats.org/officeDocument/2006/relationships/hyperlink" Target="https://biggo.com.tw/s/&#22825;&#20117;&#29128;+200w" TargetMode="External"/><Relationship Id="rId17" Type="http://schemas.openxmlformats.org/officeDocument/2006/relationships/hyperlink" Target="https://www.momoshop.com.tw/goods/GoodsDetail.jsp?i_code=9462891" TargetMode="External"/><Relationship Id="rId18" Type="http://schemas.openxmlformats.org/officeDocument/2006/relationships/hyperlink" Target="https://www.momoshop.com.tw/TP/TP0007295/goodsDetail/TP00072950000083" TargetMode="External"/><Relationship Id="rId19" Type="http://schemas.openxmlformats.org/officeDocument/2006/relationships/hyperlink" Target="https://feebee.com.tw/s/&#22823;&#22411;&#24037;&#26989;&#21514;&#25159;/" TargetMode="External"/><Relationship Id="rId20" Type="http://schemas.openxmlformats.org/officeDocument/2006/relationships/hyperlink" Target="https://feebee.com.tw/s/&#22823;&#22411;&#24037;&#26989;&#21514;&#25159;/" TargetMode="External"/><Relationship Id="rId21" Type="http://schemas.openxmlformats.org/officeDocument/2006/relationships/hyperlink" Target="https://feebee.com.tw/s/&#22823;&#22411;&#24037;&#26989;&#21514;&#25159;/" TargetMode="External"/><Relationship Id="rId22" Type="http://schemas.openxmlformats.org/officeDocument/2006/relationships/hyperlink" Target="https://uptogo.com.tw/?p=160809" TargetMode="External"/><Relationship Id="rId23" Type="http://schemas.openxmlformats.org/officeDocument/2006/relationships/hyperlink" Target="https://uptogo.com.tw/?p=160809" TargetMode="External"/><Relationship Id="rId24" Type="http://schemas.openxmlformats.org/officeDocument/2006/relationships/hyperlink" Target="https://uptogo.com.tw/?p=160809" TargetMode="External"/><Relationship Id="rId25" Type="http://schemas.openxmlformats.org/officeDocument/2006/relationships/hyperlink" Target="https://uptogo.com.tw/?p=160809" TargetMode="External"/><Relationship Id="rId26" Type="http://schemas.openxmlformats.org/officeDocument/2006/relationships/hyperlink" Target="https://uptogo.com.tw/?p=160809" TargetMode="External"/><Relationship Id="rId27" Type="http://schemas.openxmlformats.org/officeDocument/2006/relationships/hyperlink" Target="https://uptogo.com.tw/?p=160809" TargetMode="External"/><Relationship Id="rId28" Type="http://schemas.openxmlformats.org/officeDocument/2006/relationships/hyperlink" Target="https://longshot.booknow.com.tw/" TargetMode="External"/><Relationship Id="rId29" Type="http://schemas.openxmlformats.org/officeDocument/2006/relationships/hyperlink" Target="https://www.aligh.co/zh-TW/official" TargetMode="External"/><Relationship Id="rId30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iggo.com.tw/s/&#25490;&#29699;pvc&#22320;&#26495;/" TargetMode="External"/><Relationship Id="rId2" Type="http://schemas.openxmlformats.org/officeDocument/2006/relationships/hyperlink" Target="https://www.pro360.com.tw/price/pu_floor" TargetMode="External"/><Relationship Id="rId3" Type="http://schemas.openxmlformats.org/officeDocument/2006/relationships/hyperlink" Target="https://www.tcvfloor.com.tw/pdt106101.html" TargetMode="External"/><Relationship Id="rId4" Type="http://schemas.openxmlformats.org/officeDocument/2006/relationships/hyperlink" Target="https://maps.google.com/?cid=9508940968426951933" TargetMode="External"/><Relationship Id="rId5" Type="http://schemas.openxmlformats.org/officeDocument/2006/relationships/hyperlink" Target="https://longshot.booknow.com.tw/" TargetMode="External"/><Relationship Id="rId6" Type="http://schemas.openxmlformats.org/officeDocument/2006/relationships/hyperlink" Target="https://maps.google.com/?cid=324765089140641804" TargetMode="External"/><Relationship Id="rId7" Type="http://schemas.openxmlformats.org/officeDocument/2006/relationships/hyperlink" Target="https://maps.google.com/?cid=12351734585613324858" TargetMode="External"/><Relationship Id="rId8" Type="http://schemas.openxmlformats.org/officeDocument/2006/relationships/hyperlink" Target="https://maps.google.com/?cid=392047644088781137" TargetMode="External"/><Relationship Id="rId9" Type="http://schemas.openxmlformats.org/officeDocument/2006/relationships/hyperlink" Target="https://www.aligh.co/zh-TW/venue/1785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citypopulation.de/en/taiwan/admin/04__xinzhu/" TargetMode="External"/><Relationship Id="rId3" Type="http://schemas.openxmlformats.org/officeDocument/2006/relationships/hyperlink" Target="https://www.citypopulation.de/en/taiwan/admin/18__xinzhu/" TargetMode="External"/><Relationship Id="rId4" Type="http://schemas.openxmlformats.org/officeDocument/2006/relationships/hyperlink" Target="https://hakkanews.tw/2025/11/27/244800/" TargetMode="External"/><Relationship Id="rId5" Type="http://schemas.openxmlformats.org/officeDocument/2006/relationships/hyperlink" Target="https://www.ctee.com.tw/news/20260402701447-430104" TargetMode="External"/><Relationship Id="rId6" Type="http://schemas.openxmlformats.org/officeDocument/2006/relationships/hyperlink" Target="https://www.threads.com/@siegfried30/post/DL0AaqxvxHG" TargetMode="External"/><Relationship Id="rId7" Type="http://schemas.openxmlformats.org/officeDocument/2006/relationships/hyperlink" Target="https://segis.moi.gov.tw/STATCloud/QueryInterfaceView?COL=XbtWJcwKwgqioNRFfds4TA%3D%3D&amp;MCOL=cYZmFqeRseKlhNlOm6cEFw%3D%3D" TargetMode="External"/><Relationship Id="rId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9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63.75" hidden="false" customHeight="true" outlineLevel="0" collapsed="false">
      <c r="B5" s="4" t="s">
        <v>2</v>
      </c>
      <c r="C5" s="5" t="s">
        <v>3</v>
      </c>
    </row>
    <row r="6" customFormat="false" ht="63.75" hidden="false" customHeight="true" outlineLevel="0" collapsed="false">
      <c r="B6" s="4" t="s">
        <v>4</v>
      </c>
      <c r="C6" s="6" t="s">
        <v>5</v>
      </c>
    </row>
    <row r="7" customFormat="false" ht="63.75" hidden="false" customHeight="true" outlineLevel="0" collapsed="false">
      <c r="B7" s="4" t="s">
        <v>6</v>
      </c>
      <c r="C7" s="6" t="s">
        <v>7</v>
      </c>
    </row>
    <row r="8" customFormat="false" ht="63.75" hidden="false" customHeight="true" outlineLevel="0" collapsed="false">
      <c r="B8" s="4" t="s">
        <v>8</v>
      </c>
      <c r="C8" s="5" t="s">
        <v>9</v>
      </c>
    </row>
    <row r="9" customFormat="false" ht="63.75" hidden="false" customHeight="true" outlineLevel="0" collapsed="false">
      <c r="B9" s="4" t="s">
        <v>10</v>
      </c>
      <c r="C9" s="6" t="s">
        <v>11</v>
      </c>
    </row>
    <row r="10" customFormat="false" ht="32.8" hidden="false" customHeight="false" outlineLevel="0" collapsed="false">
      <c r="B10" s="7" t="s">
        <v>12</v>
      </c>
      <c r="C10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  <col collapsed="false" customWidth="true" hidden="false" outlineLevel="0" max="4" min="4" style="1" width="20"/>
    <col collapsed="false" customWidth="true" hidden="false" outlineLevel="0" max="6" min="5" style="1" width="18"/>
    <col collapsed="false" customWidth="true" hidden="false" outlineLevel="0" max="7" min="7" style="1" width="52"/>
  </cols>
  <sheetData>
    <row r="1" customFormat="false" ht="17.25" hidden="false" customHeight="true" outlineLevel="0" collapsed="false">
      <c r="A1" s="9" t="s">
        <v>14</v>
      </c>
    </row>
    <row r="3" customFormat="false" ht="15" hidden="false" customHeight="true" outlineLevel="0" collapsed="false">
      <c r="A3" s="10" t="s">
        <v>15</v>
      </c>
    </row>
    <row r="4" customFormat="false" ht="29.25" hidden="false" customHeight="true" outlineLevel="0" collapsed="false">
      <c r="A4" s="11" t="s">
        <v>16</v>
      </c>
      <c r="B4" s="12" t="n">
        <v>360</v>
      </c>
      <c r="C4" s="13" t="s">
        <v>17</v>
      </c>
    </row>
    <row r="5" customFormat="false" ht="43.5" hidden="false" customHeight="true" outlineLevel="0" collapsed="false">
      <c r="A5" s="11" t="s">
        <v>18</v>
      </c>
      <c r="B5" s="12" t="n">
        <v>672</v>
      </c>
      <c r="C5" s="14" t="s">
        <v>19</v>
      </c>
    </row>
    <row r="6" customFormat="false" ht="29.25" hidden="false" customHeight="true" outlineLevel="0" collapsed="false">
      <c r="A6" s="15" t="s">
        <v>20</v>
      </c>
      <c r="B6" s="12" t="n">
        <v>12</v>
      </c>
      <c r="C6" s="14" t="s">
        <v>21</v>
      </c>
    </row>
    <row r="7" customFormat="false" ht="43.5" hidden="false" customHeight="true" outlineLevel="0" collapsed="false">
      <c r="A7" s="15" t="s">
        <v>22</v>
      </c>
      <c r="B7" s="12" t="n">
        <v>4</v>
      </c>
      <c r="C7" s="14" t="s">
        <v>23</v>
      </c>
    </row>
    <row r="9" customFormat="false" ht="30" hidden="false" customHeight="true" outlineLevel="0" collapsed="false">
      <c r="A9" s="16" t="s">
        <v>24</v>
      </c>
      <c r="B9" s="16" t="s">
        <v>25</v>
      </c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</row>
    <row r="10" customFormat="false" ht="15" hidden="false" customHeight="true" outlineLevel="0" collapsed="false">
      <c r="A10" s="15" t="s">
        <v>31</v>
      </c>
      <c r="B10" s="17" t="n">
        <v>500000</v>
      </c>
      <c r="C10" s="17" t="n">
        <v>1000000</v>
      </c>
      <c r="D10" s="18" t="n">
        <f aca="false">SUMIFS(比價清單!$I:$I,比價清單!$A:$A,"運動地板",比價清單!$K:$K,"Y")</f>
        <v>172800</v>
      </c>
      <c r="E10" s="18" t="n">
        <f aca="false">SUMIFS(比價清單!$J:$J,比價清單!$A:$A,"運動地板",比價清單!$K:$K,"Y")</f>
        <v>322560</v>
      </c>
      <c r="F10" s="19" t="n">
        <f aca="false">B10-D10</f>
        <v>327200</v>
      </c>
      <c r="G10" s="14" t="s">
        <v>32</v>
      </c>
    </row>
    <row r="11" customFormat="false" ht="15" hidden="false" customHeight="true" outlineLevel="0" collapsed="false">
      <c r="A11" s="15" t="s">
        <v>33</v>
      </c>
      <c r="B11" s="17" t="n">
        <v>100000</v>
      </c>
      <c r="C11" s="17" t="n">
        <v>200000</v>
      </c>
      <c r="D11" s="18" t="n">
        <f aca="false">SUMIFS(比價清單!$I:$I,比價清單!$A:$A,"網柱與球網",比價清單!$K:$K,"Y")+SUMIFS(比價清單!$I:$I,比價清單!$A:$A,"球具",比價清單!$K:$K,"Y")</f>
        <v>73200</v>
      </c>
      <c r="E11" s="18" t="n">
        <f aca="false">SUMIFS(比價清單!$J:$J,比價清單!$A:$A,"網柱與球網",比價清單!$K:$K,"Y")+SUMIFS(比價清單!$J:$J,比價清單!$A:$A,"球具",比價清單!$K:$K,"Y")</f>
        <v>130950</v>
      </c>
      <c r="F11" s="19" t="n">
        <f aca="false">B11-D11</f>
        <v>26800</v>
      </c>
      <c r="G11" s="14" t="s">
        <v>34</v>
      </c>
    </row>
    <row r="12" customFormat="false" ht="15" hidden="false" customHeight="true" outlineLevel="0" collapsed="false">
      <c r="A12" s="15" t="s">
        <v>35</v>
      </c>
      <c r="B12" s="17" t="n">
        <v>150000</v>
      </c>
      <c r="C12" s="17" t="n">
        <v>250000</v>
      </c>
      <c r="D12" s="18" t="n">
        <f aca="false">SUMIFS(比價清單!$I:$I,比價清單!$A:$A,"照明",比價清單!$K:$K,"Y")</f>
        <v>50160</v>
      </c>
      <c r="E12" s="18" t="n">
        <f aca="false">SUMIFS(比價清單!$J:$J,比價清單!$A:$A,"照明",比價清單!$K:$K,"Y")</f>
        <v>100320</v>
      </c>
      <c r="F12" s="19" t="n">
        <f aca="false">B12-D12</f>
        <v>99840</v>
      </c>
      <c r="G12" s="14" t="s">
        <v>36</v>
      </c>
    </row>
    <row r="13" customFormat="false" ht="15" hidden="false" customHeight="true" outlineLevel="0" collapsed="false">
      <c r="A13" s="15" t="s">
        <v>37</v>
      </c>
      <c r="B13" s="17" t="n">
        <v>250000</v>
      </c>
      <c r="C13" s="17" t="n">
        <v>400000</v>
      </c>
      <c r="D13" s="18" t="n">
        <f aca="false">SUMIFS(比價清單!$I:$I,比價清單!$A:$A,"通風",比價清單!$K:$K,"Y")</f>
        <v>146700</v>
      </c>
      <c r="E13" s="18" t="n">
        <f aca="false">SUMIFS(比價清單!$J:$J,比價清單!$A:$A,"通風",比價清單!$K:$K,"Y")</f>
        <v>293400</v>
      </c>
      <c r="F13" s="19" t="n">
        <f aca="false">B13-D13</f>
        <v>103300</v>
      </c>
      <c r="G13" s="14" t="s">
        <v>38</v>
      </c>
    </row>
    <row r="14" customFormat="false" ht="15" hidden="false" customHeight="true" outlineLevel="0" collapsed="false">
      <c r="A14" s="15" t="s">
        <v>39</v>
      </c>
      <c r="B14" s="17" t="n">
        <v>350000</v>
      </c>
      <c r="C14" s="17" t="n">
        <v>450000</v>
      </c>
      <c r="D14" s="20" t="s">
        <v>40</v>
      </c>
      <c r="E14" s="20" t="s">
        <v>40</v>
      </c>
      <c r="F14" s="11"/>
      <c r="G14" s="14" t="s">
        <v>41</v>
      </c>
    </row>
    <row r="15" customFormat="false" ht="15" hidden="false" customHeight="true" outlineLevel="0" collapsed="false">
      <c r="A15" s="15" t="s">
        <v>42</v>
      </c>
      <c r="B15" s="17" t="n">
        <v>150000</v>
      </c>
      <c r="C15" s="17" t="n">
        <v>180000</v>
      </c>
      <c r="D15" s="20" t="s">
        <v>40</v>
      </c>
      <c r="E15" s="20" t="s">
        <v>40</v>
      </c>
      <c r="F15" s="11"/>
      <c r="G15" s="13"/>
    </row>
    <row r="16" customFormat="false" ht="15" hidden="false" customHeight="true" outlineLevel="0" collapsed="false">
      <c r="A16" s="15" t="s">
        <v>43</v>
      </c>
      <c r="B16" s="17" t="n">
        <v>200000</v>
      </c>
      <c r="C16" s="17" t="n">
        <v>250000</v>
      </c>
      <c r="D16" s="20" t="s">
        <v>40</v>
      </c>
      <c r="E16" s="20" t="s">
        <v>40</v>
      </c>
      <c r="F16" s="11"/>
      <c r="G16" s="14" t="s">
        <v>44</v>
      </c>
    </row>
    <row r="17" customFormat="false" ht="15" hidden="false" customHeight="true" outlineLevel="0" collapsed="false">
      <c r="A17" s="15" t="s">
        <v>45</v>
      </c>
      <c r="B17" s="17" t="n">
        <v>100000</v>
      </c>
      <c r="C17" s="17" t="n">
        <v>150000</v>
      </c>
      <c r="D17" s="18" t="n">
        <f aca="false">SUMIFS(比價清單!$I:$I,比價清單!$A:$A,"系統",比價清單!$K:$K,"Y")</f>
        <v>0</v>
      </c>
      <c r="E17" s="18" t="n">
        <f aca="false">SUMIFS(比價清單!$J:$J,比價清單!$A:$A,"系統",比價清單!$K:$K,"Y")</f>
        <v>0</v>
      </c>
      <c r="F17" s="19" t="n">
        <f aca="false">B17-D17</f>
        <v>100000</v>
      </c>
      <c r="G17" s="14" t="s">
        <v>46</v>
      </c>
    </row>
    <row r="18" customFormat="false" ht="15" hidden="false" customHeight="true" outlineLevel="0" collapsed="false">
      <c r="A18" s="15" t="s">
        <v>47</v>
      </c>
      <c r="B18" s="17" t="n">
        <v>80000</v>
      </c>
      <c r="C18" s="17" t="n">
        <v>80000</v>
      </c>
      <c r="D18" s="20" t="s">
        <v>40</v>
      </c>
      <c r="E18" s="20" t="s">
        <v>40</v>
      </c>
      <c r="F18" s="11"/>
      <c r="G18" s="13"/>
    </row>
    <row r="19" customFormat="false" ht="15" hidden="false" customHeight="true" outlineLevel="0" collapsed="false">
      <c r="A19" s="15" t="s">
        <v>48</v>
      </c>
      <c r="B19" s="17" t="n">
        <v>0</v>
      </c>
      <c r="C19" s="17" t="n">
        <v>0</v>
      </c>
      <c r="D19" s="18" t="n">
        <f aca="false">SUMIFS(比價清單!$I:$I,比價清單!$A:$A,"安全",比價清單!$K:$K,"Y")</f>
        <v>73000</v>
      </c>
      <c r="E19" s="18" t="n">
        <f aca="false">SUMIFS(比價清單!$J:$J,比價清單!$A:$A,"安全",比價清單!$K:$K,"Y")</f>
        <v>73000</v>
      </c>
      <c r="F19" s="19" t="n">
        <f aca="false">B19-D19</f>
        <v>-73000</v>
      </c>
      <c r="G19" s="14" t="s">
        <v>49</v>
      </c>
    </row>
    <row r="20" customFormat="false" ht="15" hidden="false" customHeight="true" outlineLevel="0" collapsed="false">
      <c r="A20" s="21" t="s">
        <v>50</v>
      </c>
      <c r="B20" s="22" t="n">
        <f aca="false">SUM(B10:B19)</f>
        <v>1880000</v>
      </c>
      <c r="C20" s="22" t="n">
        <f aca="false">SUM(C10:C19)</f>
        <v>2960000</v>
      </c>
      <c r="D20" s="22" t="n">
        <f aca="false">SUM(D10:D19)</f>
        <v>515860</v>
      </c>
      <c r="E20" s="22" t="n">
        <f aca="false">SUM(E10:E19)</f>
        <v>920230</v>
      </c>
      <c r="F20" s="22" t="n">
        <f aca="false">SUM(F10:F19)</f>
        <v>584140</v>
      </c>
      <c r="G20" s="2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3" style="1" width="24"/>
    <col collapsed="false" customWidth="true" hidden="false" outlineLevel="0" max="5" min="5" style="1" width="11"/>
    <col collapsed="false" customWidth="true" hidden="false" outlineLevel="0" max="8" min="6" style="1" width="9"/>
    <col collapsed="false" customWidth="true" hidden="false" outlineLevel="0" max="10" min="9" style="1" width="12"/>
    <col collapsed="false" customWidth="true" hidden="false" outlineLevel="0" max="11" min="11" style="1" width="8"/>
    <col collapsed="false" customWidth="true" hidden="false" outlineLevel="0" max="12" min="12" style="1" width="18"/>
    <col collapsed="false" customWidth="true" hidden="false" outlineLevel="0" max="14" min="13" style="1" width="11"/>
    <col collapsed="false" customWidth="true" hidden="false" outlineLevel="0" max="15" min="15" style="1" width="34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16" t="s">
        <v>52</v>
      </c>
      <c r="B1" s="16" t="s">
        <v>53</v>
      </c>
      <c r="C1" s="16" t="s">
        <v>54</v>
      </c>
      <c r="D1" s="16" t="s">
        <v>55</v>
      </c>
      <c r="E1" s="16" t="s">
        <v>56</v>
      </c>
      <c r="F1" s="16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16" t="s">
        <v>62</v>
      </c>
      <c r="L1" s="16" t="s">
        <v>63</v>
      </c>
      <c r="M1" s="16" t="s">
        <v>64</v>
      </c>
      <c r="N1" s="16" t="s">
        <v>65</v>
      </c>
      <c r="O1" s="16" t="s">
        <v>66</v>
      </c>
      <c r="P1" s="16" t="s">
        <v>67</v>
      </c>
    </row>
    <row r="2" customFormat="false" ht="15" hidden="false" customHeight="true" outlineLevel="0" collapsed="false">
      <c r="A2" s="15" t="s">
        <v>31</v>
      </c>
      <c r="B2" s="11" t="s">
        <v>68</v>
      </c>
      <c r="C2" s="15" t="s">
        <v>69</v>
      </c>
      <c r="D2" s="11" t="s">
        <v>70</v>
      </c>
      <c r="E2" s="25" t="n">
        <v>480</v>
      </c>
      <c r="F2" s="15" t="s">
        <v>71</v>
      </c>
      <c r="G2" s="26" t="n">
        <f aca="false">預算總表!$B$4</f>
        <v>360</v>
      </c>
      <c r="H2" s="26" t="n">
        <f aca="false">預算總表!$B$5</f>
        <v>672</v>
      </c>
      <c r="I2" s="27" t="n">
        <f aca="false">IF(E2="","待報價",E2*G2)</f>
        <v>172800</v>
      </c>
      <c r="J2" s="27" t="n">
        <f aca="false">IF(E2="","待報價",E2*H2)</f>
        <v>322560</v>
      </c>
      <c r="K2" s="28" t="s">
        <v>72</v>
      </c>
      <c r="L2" s="15" t="s">
        <v>73</v>
      </c>
      <c r="M2" s="29" t="s">
        <v>74</v>
      </c>
      <c r="N2" s="11" t="s">
        <v>75</v>
      </c>
      <c r="O2" s="14" t="s">
        <v>76</v>
      </c>
      <c r="P2" s="14" t="s">
        <v>77</v>
      </c>
    </row>
    <row r="3" customFormat="false" ht="15" hidden="false" customHeight="true" outlineLevel="0" collapsed="false">
      <c r="A3" s="15" t="s">
        <v>31</v>
      </c>
      <c r="B3" s="11" t="s">
        <v>78</v>
      </c>
      <c r="C3" s="15" t="s">
        <v>79</v>
      </c>
      <c r="D3" s="11" t="s">
        <v>80</v>
      </c>
      <c r="E3" s="25" t="n">
        <v>423</v>
      </c>
      <c r="F3" s="15" t="s">
        <v>71</v>
      </c>
      <c r="G3" s="26" t="n">
        <f aca="false">預算總表!$B$4</f>
        <v>360</v>
      </c>
      <c r="H3" s="26" t="n">
        <f aca="false">預算總表!$B$5</f>
        <v>672</v>
      </c>
      <c r="I3" s="27" t="n">
        <f aca="false">IF(E3="","待報價",E3*G3)</f>
        <v>152280</v>
      </c>
      <c r="J3" s="27" t="n">
        <f aca="false">IF(E3="","待報價",E3*H3)</f>
        <v>284256</v>
      </c>
      <c r="K3" s="28"/>
      <c r="L3" s="15" t="s">
        <v>81</v>
      </c>
      <c r="M3" s="29" t="s">
        <v>74</v>
      </c>
      <c r="N3" s="11" t="s">
        <v>75</v>
      </c>
      <c r="O3" s="14" t="s">
        <v>82</v>
      </c>
      <c r="P3" s="13"/>
    </row>
    <row r="4" customFormat="false" ht="29.25" hidden="false" customHeight="true" outlineLevel="0" collapsed="false">
      <c r="A4" s="15" t="s">
        <v>31</v>
      </c>
      <c r="B4" s="11" t="s">
        <v>78</v>
      </c>
      <c r="C4" s="11" t="s">
        <v>83</v>
      </c>
      <c r="D4" s="11" t="s">
        <v>84</v>
      </c>
      <c r="E4" s="25" t="n">
        <v>419</v>
      </c>
      <c r="F4" s="15" t="s">
        <v>71</v>
      </c>
      <c r="G4" s="26" t="n">
        <f aca="false">預算總表!$B$4</f>
        <v>360</v>
      </c>
      <c r="H4" s="26" t="n">
        <f aca="false">預算總表!$B$5</f>
        <v>672</v>
      </c>
      <c r="I4" s="27" t="n">
        <f aca="false">IF(E4="","待報價",E4*G4)</f>
        <v>150840</v>
      </c>
      <c r="J4" s="27" t="n">
        <f aca="false">IF(E4="","待報價",E4*H4)</f>
        <v>281568</v>
      </c>
      <c r="K4" s="28"/>
      <c r="L4" s="15" t="s">
        <v>81</v>
      </c>
      <c r="M4" s="29" t="s">
        <v>74</v>
      </c>
      <c r="N4" s="11" t="s">
        <v>75</v>
      </c>
      <c r="O4" s="13" t="s">
        <v>85</v>
      </c>
      <c r="P4" s="13"/>
    </row>
    <row r="5" customFormat="false" ht="15" hidden="false" customHeight="true" outlineLevel="0" collapsed="false">
      <c r="A5" s="15" t="s">
        <v>31</v>
      </c>
      <c r="B5" s="11" t="s">
        <v>86</v>
      </c>
      <c r="C5" s="11" t="s">
        <v>87</v>
      </c>
      <c r="D5" s="15" t="s">
        <v>88</v>
      </c>
      <c r="E5" s="25" t="n">
        <v>650</v>
      </c>
      <c r="F5" s="15" t="s">
        <v>71</v>
      </c>
      <c r="G5" s="26" t="n">
        <f aca="false">預算總表!$B$4</f>
        <v>360</v>
      </c>
      <c r="H5" s="26" t="n">
        <f aca="false">預算總表!$B$5</f>
        <v>672</v>
      </c>
      <c r="I5" s="27" t="n">
        <f aca="false">IF(E5="","待報價",E5*G5)</f>
        <v>234000</v>
      </c>
      <c r="J5" s="27" t="n">
        <f aca="false">IF(E5="","待報價",E5*H5)</f>
        <v>436800</v>
      </c>
      <c r="K5" s="28"/>
      <c r="L5" s="11" t="s">
        <v>89</v>
      </c>
      <c r="M5" s="29" t="s">
        <v>74</v>
      </c>
      <c r="N5" s="11" t="s">
        <v>75</v>
      </c>
      <c r="O5" s="14" t="s">
        <v>90</v>
      </c>
      <c r="P5" s="13"/>
    </row>
    <row r="6" customFormat="false" ht="15" hidden="false" customHeight="true" outlineLevel="0" collapsed="false">
      <c r="A6" s="15" t="s">
        <v>31</v>
      </c>
      <c r="B6" s="15" t="s">
        <v>91</v>
      </c>
      <c r="C6" s="11" t="s">
        <v>92</v>
      </c>
      <c r="D6" s="15" t="s">
        <v>93</v>
      </c>
      <c r="E6" s="25"/>
      <c r="F6" s="15" t="s">
        <v>71</v>
      </c>
      <c r="G6" s="26" t="n">
        <f aca="false">預算總表!$B$4</f>
        <v>360</v>
      </c>
      <c r="H6" s="26" t="n">
        <f aca="false">預算總表!$B$5</f>
        <v>672</v>
      </c>
      <c r="I6" s="27" t="str">
        <f aca="false">IF(E6="","待報價",E6*G6)</f>
        <v>待報價</v>
      </c>
      <c r="J6" s="27" t="str">
        <f aca="false">IF(E6="","待報價",E6*H6)</f>
        <v>待報價</v>
      </c>
      <c r="K6" s="28"/>
      <c r="L6" s="15" t="s">
        <v>94</v>
      </c>
      <c r="M6" s="29" t="s">
        <v>74</v>
      </c>
      <c r="N6" s="11" t="s">
        <v>75</v>
      </c>
      <c r="O6" s="14" t="s">
        <v>95</v>
      </c>
      <c r="P6" s="13"/>
    </row>
    <row r="7" customFormat="false" ht="29.25" hidden="false" customHeight="true" outlineLevel="0" collapsed="false">
      <c r="A7" s="15" t="s">
        <v>31</v>
      </c>
      <c r="B7" s="15" t="s">
        <v>91</v>
      </c>
      <c r="C7" s="11" t="s">
        <v>96</v>
      </c>
      <c r="D7" s="15" t="s">
        <v>97</v>
      </c>
      <c r="E7" s="25"/>
      <c r="F7" s="15" t="s">
        <v>71</v>
      </c>
      <c r="G7" s="26" t="n">
        <f aca="false">預算總表!$B$4</f>
        <v>360</v>
      </c>
      <c r="H7" s="26" t="n">
        <f aca="false">預算總表!$B$5</f>
        <v>672</v>
      </c>
      <c r="I7" s="27" t="str">
        <f aca="false">IF(E7="","待報價",E7*G7)</f>
        <v>待報價</v>
      </c>
      <c r="J7" s="27" t="str">
        <f aca="false">IF(E7="","待報價",E7*H7)</f>
        <v>待報價</v>
      </c>
      <c r="K7" s="28"/>
      <c r="L7" s="15" t="s">
        <v>98</v>
      </c>
      <c r="M7" s="29" t="s">
        <v>74</v>
      </c>
      <c r="N7" s="11" t="s">
        <v>75</v>
      </c>
      <c r="O7" s="14" t="s">
        <v>99</v>
      </c>
      <c r="P7" s="14" t="s">
        <v>100</v>
      </c>
    </row>
    <row r="8" customFormat="false" ht="29.25" hidden="false" customHeight="true" outlineLevel="0" collapsed="false">
      <c r="A8" s="15" t="s">
        <v>31</v>
      </c>
      <c r="B8" s="15" t="s">
        <v>101</v>
      </c>
      <c r="C8" s="11"/>
      <c r="D8" s="11"/>
      <c r="E8" s="25"/>
      <c r="F8" s="15" t="s">
        <v>102</v>
      </c>
      <c r="G8" s="25" t="n">
        <v>1</v>
      </c>
      <c r="H8" s="25" t="n">
        <v>1</v>
      </c>
      <c r="I8" s="27" t="str">
        <f aca="false">IF(E8="","待報價",E8*G8)</f>
        <v>待報價</v>
      </c>
      <c r="J8" s="27" t="str">
        <f aca="false">IF(E8="","待報價",E8*H8)</f>
        <v>待報價</v>
      </c>
      <c r="K8" s="28"/>
      <c r="L8" s="15" t="s">
        <v>103</v>
      </c>
      <c r="M8" s="29"/>
      <c r="N8" s="11" t="s">
        <v>75</v>
      </c>
      <c r="O8" s="14" t="s">
        <v>104</v>
      </c>
      <c r="P8" s="13"/>
    </row>
    <row r="9" customFormat="false" ht="29.25" hidden="false" customHeight="true" outlineLevel="0" collapsed="false">
      <c r="A9" s="15" t="s">
        <v>105</v>
      </c>
      <c r="B9" s="15" t="s">
        <v>106</v>
      </c>
      <c r="C9" s="15" t="s">
        <v>107</v>
      </c>
      <c r="D9" s="15" t="s">
        <v>108</v>
      </c>
      <c r="E9" s="25" t="n">
        <v>43500</v>
      </c>
      <c r="F9" s="15" t="s">
        <v>109</v>
      </c>
      <c r="G9" s="25" t="n">
        <v>1</v>
      </c>
      <c r="H9" s="25" t="n">
        <v>2</v>
      </c>
      <c r="I9" s="27" t="n">
        <f aca="false">IF(E9="","待報價",E9*G9)</f>
        <v>43500</v>
      </c>
      <c r="J9" s="27" t="n">
        <f aca="false">IF(E9="","待報價",E9*H9)</f>
        <v>87000</v>
      </c>
      <c r="K9" s="28"/>
      <c r="L9" s="15" t="s">
        <v>81</v>
      </c>
      <c r="M9" s="29" t="s">
        <v>74</v>
      </c>
      <c r="N9" s="11" t="s">
        <v>75</v>
      </c>
      <c r="O9" s="13"/>
      <c r="P9" s="13"/>
    </row>
    <row r="10" customFormat="false" ht="29.25" hidden="false" customHeight="true" outlineLevel="0" collapsed="false">
      <c r="A10" s="15" t="s">
        <v>105</v>
      </c>
      <c r="B10" s="15" t="s">
        <v>110</v>
      </c>
      <c r="C10" s="15" t="s">
        <v>107</v>
      </c>
      <c r="D10" s="15" t="s">
        <v>108</v>
      </c>
      <c r="E10" s="25" t="n">
        <v>31500</v>
      </c>
      <c r="F10" s="15" t="s">
        <v>109</v>
      </c>
      <c r="G10" s="25" t="n">
        <v>1</v>
      </c>
      <c r="H10" s="25" t="n">
        <v>2</v>
      </c>
      <c r="I10" s="27" t="n">
        <f aca="false">IF(E10="","待報價",E10*G10)</f>
        <v>31500</v>
      </c>
      <c r="J10" s="27" t="n">
        <f aca="false">IF(E10="","待報價",E10*H10)</f>
        <v>63000</v>
      </c>
      <c r="K10" s="28" t="s">
        <v>72</v>
      </c>
      <c r="L10" s="15" t="s">
        <v>81</v>
      </c>
      <c r="M10" s="29" t="s">
        <v>74</v>
      </c>
      <c r="N10" s="11" t="s">
        <v>75</v>
      </c>
      <c r="O10" s="13"/>
      <c r="P10" s="13"/>
    </row>
    <row r="11" customFormat="false" ht="15" hidden="false" customHeight="true" outlineLevel="0" collapsed="false">
      <c r="A11" s="15" t="s">
        <v>105</v>
      </c>
      <c r="B11" s="15" t="s">
        <v>111</v>
      </c>
      <c r="C11" s="15" t="s">
        <v>112</v>
      </c>
      <c r="D11" s="15" t="s">
        <v>113</v>
      </c>
      <c r="E11" s="25" t="n">
        <v>17680</v>
      </c>
      <c r="F11" s="15" t="s">
        <v>109</v>
      </c>
      <c r="G11" s="25" t="n">
        <v>1</v>
      </c>
      <c r="H11" s="25" t="n">
        <v>2</v>
      </c>
      <c r="I11" s="27" t="n">
        <f aca="false">IF(E11="","待報價",E11*G11)</f>
        <v>17680</v>
      </c>
      <c r="J11" s="27" t="n">
        <f aca="false">IF(E11="","待報價",E11*H11)</f>
        <v>35360</v>
      </c>
      <c r="K11" s="28"/>
      <c r="L11" s="15" t="s">
        <v>81</v>
      </c>
      <c r="M11" s="29" t="s">
        <v>74</v>
      </c>
      <c r="N11" s="11" t="s">
        <v>75</v>
      </c>
      <c r="O11" s="13"/>
      <c r="P11" s="13"/>
    </row>
    <row r="12" customFormat="false" ht="15" hidden="false" customHeight="true" outlineLevel="0" collapsed="false">
      <c r="A12" s="15" t="s">
        <v>105</v>
      </c>
      <c r="B12" s="15" t="s">
        <v>114</v>
      </c>
      <c r="C12" s="11" t="s">
        <v>115</v>
      </c>
      <c r="D12" s="15" t="s">
        <v>116</v>
      </c>
      <c r="E12" s="25" t="n">
        <v>14800</v>
      </c>
      <c r="F12" s="15" t="s">
        <v>109</v>
      </c>
      <c r="G12" s="25" t="n">
        <v>1</v>
      </c>
      <c r="H12" s="25" t="n">
        <v>2</v>
      </c>
      <c r="I12" s="27" t="n">
        <f aca="false">IF(E12="","待報價",E12*G12)</f>
        <v>14800</v>
      </c>
      <c r="J12" s="27" t="n">
        <f aca="false">IF(E12="","待報價",E12*H12)</f>
        <v>29600</v>
      </c>
      <c r="K12" s="28"/>
      <c r="L12" s="15" t="s">
        <v>81</v>
      </c>
      <c r="M12" s="29" t="s">
        <v>74</v>
      </c>
      <c r="N12" s="11" t="s">
        <v>75</v>
      </c>
      <c r="O12" s="14" t="s">
        <v>117</v>
      </c>
      <c r="P12" s="13"/>
    </row>
    <row r="13" customFormat="false" ht="15" hidden="false" customHeight="true" outlineLevel="0" collapsed="false">
      <c r="A13" s="15" t="s">
        <v>105</v>
      </c>
      <c r="B13" s="15" t="s">
        <v>118</v>
      </c>
      <c r="C13" s="11"/>
      <c r="D13" s="11"/>
      <c r="E13" s="25"/>
      <c r="F13" s="15" t="s">
        <v>119</v>
      </c>
      <c r="G13" s="25" t="n">
        <v>1</v>
      </c>
      <c r="H13" s="25" t="n">
        <v>2</v>
      </c>
      <c r="I13" s="27" t="str">
        <f aca="false">IF(E13="","待報價",E13*G13)</f>
        <v>待報價</v>
      </c>
      <c r="J13" s="27" t="str">
        <f aca="false">IF(E13="","待報價",E13*H13)</f>
        <v>待報價</v>
      </c>
      <c r="K13" s="28"/>
      <c r="L13" s="15" t="s">
        <v>120</v>
      </c>
      <c r="M13" s="29"/>
      <c r="N13" s="11" t="s">
        <v>75</v>
      </c>
      <c r="O13" s="14" t="s">
        <v>121</v>
      </c>
      <c r="P13" s="13"/>
    </row>
    <row r="14" customFormat="false" ht="15" hidden="false" customHeight="true" outlineLevel="0" collapsed="false">
      <c r="A14" s="15" t="s">
        <v>105</v>
      </c>
      <c r="B14" s="15" t="s">
        <v>122</v>
      </c>
      <c r="C14" s="11"/>
      <c r="D14" s="11"/>
      <c r="E14" s="25"/>
      <c r="F14" s="15" t="s">
        <v>123</v>
      </c>
      <c r="G14" s="25" t="n">
        <v>1</v>
      </c>
      <c r="H14" s="25" t="n">
        <v>2</v>
      </c>
      <c r="I14" s="27" t="str">
        <f aca="false">IF(E14="","待報價",E14*G14)</f>
        <v>待報價</v>
      </c>
      <c r="J14" s="27" t="str">
        <f aca="false">IF(E14="","待報價",E14*H14)</f>
        <v>待報價</v>
      </c>
      <c r="K14" s="28"/>
      <c r="L14" s="15" t="s">
        <v>120</v>
      </c>
      <c r="M14" s="29"/>
      <c r="N14" s="11" t="s">
        <v>75</v>
      </c>
      <c r="O14" s="14" t="s">
        <v>121</v>
      </c>
      <c r="P14" s="13"/>
    </row>
    <row r="15" customFormat="false" ht="15" hidden="false" customHeight="true" outlineLevel="0" collapsed="false">
      <c r="A15" s="15" t="s">
        <v>124</v>
      </c>
      <c r="B15" s="15" t="s">
        <v>125</v>
      </c>
      <c r="C15" s="11" t="s">
        <v>126</v>
      </c>
      <c r="D15" s="11" t="s">
        <v>127</v>
      </c>
      <c r="E15" s="25" t="n">
        <v>2700</v>
      </c>
      <c r="F15" s="15" t="s">
        <v>128</v>
      </c>
      <c r="G15" s="25" t="n">
        <v>12</v>
      </c>
      <c r="H15" s="25" t="n">
        <v>20</v>
      </c>
      <c r="I15" s="27" t="n">
        <f aca="false">IF(E15="","待報價",E15*G15)</f>
        <v>32400</v>
      </c>
      <c r="J15" s="27" t="n">
        <f aca="false">IF(E15="","待報價",E15*H15)</f>
        <v>54000</v>
      </c>
      <c r="K15" s="28" t="s">
        <v>72</v>
      </c>
      <c r="L15" s="11" t="s">
        <v>129</v>
      </c>
      <c r="M15" s="29" t="s">
        <v>74</v>
      </c>
      <c r="N15" s="11" t="s">
        <v>75</v>
      </c>
      <c r="O15" s="14" t="s">
        <v>130</v>
      </c>
      <c r="P15" s="13"/>
    </row>
    <row r="16" customFormat="false" ht="15" hidden="false" customHeight="true" outlineLevel="0" collapsed="false">
      <c r="A16" s="15" t="s">
        <v>124</v>
      </c>
      <c r="B16" s="15" t="s">
        <v>131</v>
      </c>
      <c r="C16" s="11" t="s">
        <v>132</v>
      </c>
      <c r="D16" s="11" t="s">
        <v>133</v>
      </c>
      <c r="E16" s="25" t="n">
        <v>175</v>
      </c>
      <c r="F16" s="15" t="s">
        <v>128</v>
      </c>
      <c r="G16" s="25" t="n">
        <v>20</v>
      </c>
      <c r="H16" s="25" t="n">
        <v>30</v>
      </c>
      <c r="I16" s="27" t="n">
        <f aca="false">IF(E16="","待報價",E16*G16)</f>
        <v>3500</v>
      </c>
      <c r="J16" s="27" t="n">
        <f aca="false">IF(E16="","待報價",E16*H16)</f>
        <v>5250</v>
      </c>
      <c r="K16" s="28" t="s">
        <v>72</v>
      </c>
      <c r="L16" s="11" t="s">
        <v>134</v>
      </c>
      <c r="M16" s="29" t="s">
        <v>74</v>
      </c>
      <c r="N16" s="11" t="s">
        <v>75</v>
      </c>
      <c r="O16" s="14" t="s">
        <v>135</v>
      </c>
      <c r="P16" s="13"/>
    </row>
    <row r="17" customFormat="false" ht="26.25" hidden="false" customHeight="true" outlineLevel="0" collapsed="false">
      <c r="A17" s="15" t="s">
        <v>124</v>
      </c>
      <c r="B17" s="15" t="s">
        <v>136</v>
      </c>
      <c r="C17" s="11" t="s">
        <v>137</v>
      </c>
      <c r="D17" s="15" t="s">
        <v>138</v>
      </c>
      <c r="E17" s="25" t="n">
        <v>2900</v>
      </c>
      <c r="F17" s="15" t="s">
        <v>139</v>
      </c>
      <c r="G17" s="25" t="n">
        <v>2</v>
      </c>
      <c r="H17" s="25" t="n">
        <v>3</v>
      </c>
      <c r="I17" s="27" t="n">
        <f aca="false">IF(E17="","待報價",E17*G17)</f>
        <v>5800</v>
      </c>
      <c r="J17" s="27" t="n">
        <f aca="false">IF(E17="","待報價",E17*H17)</f>
        <v>8700</v>
      </c>
      <c r="K17" s="28" t="s">
        <v>72</v>
      </c>
      <c r="L17" s="11" t="s">
        <v>129</v>
      </c>
      <c r="M17" s="29" t="s">
        <v>74</v>
      </c>
      <c r="N17" s="11" t="s">
        <v>75</v>
      </c>
      <c r="O17" s="14" t="s">
        <v>140</v>
      </c>
      <c r="P17" s="13"/>
    </row>
    <row r="18" customFormat="false" ht="29.25" hidden="false" customHeight="true" outlineLevel="0" collapsed="false">
      <c r="A18" s="15" t="s">
        <v>141</v>
      </c>
      <c r="B18" s="11" t="s">
        <v>142</v>
      </c>
      <c r="C18" s="15" t="s">
        <v>143</v>
      </c>
      <c r="D18" s="15" t="s">
        <v>144</v>
      </c>
      <c r="E18" s="25" t="n">
        <v>4180</v>
      </c>
      <c r="F18" s="15" t="s">
        <v>145</v>
      </c>
      <c r="G18" s="26" t="n">
        <f aca="false">預算總表!$B$6</f>
        <v>12</v>
      </c>
      <c r="H18" s="26" t="n">
        <f aca="false">預算總表!$B$6*2</f>
        <v>24</v>
      </c>
      <c r="I18" s="27" t="n">
        <f aca="false">IF(E18="","待報價",E18*G18)</f>
        <v>50160</v>
      </c>
      <c r="J18" s="27" t="n">
        <f aca="false">IF(E18="","待報價",E18*H18)</f>
        <v>100320</v>
      </c>
      <c r="K18" s="28" t="s">
        <v>72</v>
      </c>
      <c r="L18" s="11" t="s">
        <v>146</v>
      </c>
      <c r="M18" s="29" t="s">
        <v>74</v>
      </c>
      <c r="N18" s="11" t="s">
        <v>75</v>
      </c>
      <c r="O18" s="14" t="s">
        <v>147</v>
      </c>
      <c r="P18" s="14" t="s">
        <v>148</v>
      </c>
    </row>
    <row r="19" customFormat="false" ht="29.25" hidden="false" customHeight="true" outlineLevel="0" collapsed="false">
      <c r="A19" s="15" t="s">
        <v>141</v>
      </c>
      <c r="B19" s="11" t="s">
        <v>149</v>
      </c>
      <c r="C19" s="15" t="s">
        <v>150</v>
      </c>
      <c r="D19" s="11"/>
      <c r="E19" s="25" t="n">
        <v>5300</v>
      </c>
      <c r="F19" s="15" t="s">
        <v>145</v>
      </c>
      <c r="G19" s="26" t="n">
        <f aca="false">預算總表!$B$6</f>
        <v>12</v>
      </c>
      <c r="H19" s="26" t="n">
        <f aca="false">預算總表!$B$6*2</f>
        <v>24</v>
      </c>
      <c r="I19" s="27" t="n">
        <f aca="false">IF(E19="","待報價",E19*G19)</f>
        <v>63600</v>
      </c>
      <c r="J19" s="27" t="n">
        <f aca="false">IF(E19="","待報價",E19*H19)</f>
        <v>127200</v>
      </c>
      <c r="K19" s="28"/>
      <c r="L19" s="11" t="s">
        <v>146</v>
      </c>
      <c r="M19" s="29" t="s">
        <v>74</v>
      </c>
      <c r="N19" s="11" t="s">
        <v>75</v>
      </c>
      <c r="O19" s="14" t="s">
        <v>147</v>
      </c>
      <c r="P19" s="13"/>
    </row>
    <row r="20" customFormat="false" ht="29.25" hidden="false" customHeight="true" outlineLevel="0" collapsed="false">
      <c r="A20" s="15" t="s">
        <v>141</v>
      </c>
      <c r="B20" s="11" t="s">
        <v>149</v>
      </c>
      <c r="C20" s="15" t="s">
        <v>151</v>
      </c>
      <c r="D20" s="11"/>
      <c r="E20" s="25" t="n">
        <v>6930</v>
      </c>
      <c r="F20" s="15" t="s">
        <v>145</v>
      </c>
      <c r="G20" s="26" t="n">
        <f aca="false">預算總表!$B$6</f>
        <v>12</v>
      </c>
      <c r="H20" s="26" t="n">
        <f aca="false">預算總表!$B$6*2</f>
        <v>24</v>
      </c>
      <c r="I20" s="27" t="n">
        <f aca="false">IF(E20="","待報價",E20*G20)</f>
        <v>83160</v>
      </c>
      <c r="J20" s="27" t="n">
        <f aca="false">IF(E20="","待報價",E20*H20)</f>
        <v>166320</v>
      </c>
      <c r="K20" s="28"/>
      <c r="L20" s="11" t="s">
        <v>152</v>
      </c>
      <c r="M20" s="29" t="s">
        <v>74</v>
      </c>
      <c r="N20" s="11" t="s">
        <v>75</v>
      </c>
      <c r="O20" s="14" t="s">
        <v>147</v>
      </c>
      <c r="P20" s="13"/>
    </row>
    <row r="21" customFormat="false" ht="15" hidden="false" customHeight="true" outlineLevel="0" collapsed="false">
      <c r="A21" s="15" t="s">
        <v>141</v>
      </c>
      <c r="B21" s="11" t="s">
        <v>153</v>
      </c>
      <c r="C21" s="15" t="s">
        <v>154</v>
      </c>
      <c r="D21" s="15" t="s">
        <v>155</v>
      </c>
      <c r="E21" s="25" t="n">
        <v>3370</v>
      </c>
      <c r="F21" s="15" t="s">
        <v>145</v>
      </c>
      <c r="G21" s="26" t="n">
        <f aca="false">預算總表!$B$6</f>
        <v>12</v>
      </c>
      <c r="H21" s="26" t="n">
        <f aca="false">預算總表!$B$6*2</f>
        <v>24</v>
      </c>
      <c r="I21" s="27" t="n">
        <f aca="false">IF(E21="","待報價",E21*G21)</f>
        <v>40440</v>
      </c>
      <c r="J21" s="27" t="n">
        <f aca="false">IF(E21="","待報價",E21*H21)</f>
        <v>80880</v>
      </c>
      <c r="K21" s="28"/>
      <c r="L21" s="11" t="s">
        <v>156</v>
      </c>
      <c r="M21" s="29" t="s">
        <v>74</v>
      </c>
      <c r="N21" s="11" t="s">
        <v>75</v>
      </c>
      <c r="O21" s="14" t="s">
        <v>157</v>
      </c>
      <c r="P21" s="13"/>
    </row>
    <row r="22" customFormat="false" ht="15" hidden="false" customHeight="true" outlineLevel="0" collapsed="false">
      <c r="A22" s="15" t="s">
        <v>141</v>
      </c>
      <c r="B22" s="11" t="s">
        <v>158</v>
      </c>
      <c r="C22" s="11" t="s">
        <v>159</v>
      </c>
      <c r="D22" s="15" t="s">
        <v>160</v>
      </c>
      <c r="E22" s="25" t="n">
        <v>3920</v>
      </c>
      <c r="F22" s="15" t="s">
        <v>145</v>
      </c>
      <c r="G22" s="26" t="n">
        <f aca="false">預算總表!$B$6</f>
        <v>12</v>
      </c>
      <c r="H22" s="26" t="n">
        <f aca="false">預算總表!$B$6*2</f>
        <v>24</v>
      </c>
      <c r="I22" s="27" t="n">
        <f aca="false">IF(E22="","待報價",E22*G22)</f>
        <v>47040</v>
      </c>
      <c r="J22" s="27" t="n">
        <f aca="false">IF(E22="","待報價",E22*H22)</f>
        <v>94080</v>
      </c>
      <c r="K22" s="28"/>
      <c r="L22" s="11" t="s">
        <v>156</v>
      </c>
      <c r="M22" s="29" t="s">
        <v>74</v>
      </c>
      <c r="N22" s="11" t="s">
        <v>75</v>
      </c>
      <c r="O22" s="14" t="s">
        <v>161</v>
      </c>
      <c r="P22" s="13"/>
    </row>
    <row r="23" customFormat="false" ht="15" hidden="false" customHeight="true" outlineLevel="0" collapsed="false">
      <c r="A23" s="15" t="s">
        <v>162</v>
      </c>
      <c r="B23" s="11" t="s">
        <v>163</v>
      </c>
      <c r="C23" s="11" t="s">
        <v>164</v>
      </c>
      <c r="D23" s="11"/>
      <c r="E23" s="25" t="n">
        <v>36675</v>
      </c>
      <c r="F23" s="15" t="s">
        <v>139</v>
      </c>
      <c r="G23" s="26" t="n">
        <f aca="false">預算總表!$B$7</f>
        <v>4</v>
      </c>
      <c r="H23" s="26" t="n">
        <f aca="false">預算總表!$B$7*2</f>
        <v>8</v>
      </c>
      <c r="I23" s="27" t="n">
        <f aca="false">IF(E23="","待報價",E23*G23)</f>
        <v>146700</v>
      </c>
      <c r="J23" s="27" t="n">
        <f aca="false">IF(E23="","待報價",E23*H23)</f>
        <v>293400</v>
      </c>
      <c r="K23" s="28" t="s">
        <v>72</v>
      </c>
      <c r="L23" s="11" t="s">
        <v>165</v>
      </c>
      <c r="M23" s="29" t="s">
        <v>74</v>
      </c>
      <c r="N23" s="11" t="s">
        <v>75</v>
      </c>
      <c r="O23" s="14" t="s">
        <v>166</v>
      </c>
      <c r="P23" s="13"/>
    </row>
    <row r="24" customFormat="false" ht="29.25" hidden="false" customHeight="true" outlineLevel="0" collapsed="false">
      <c r="A24" s="15" t="s">
        <v>162</v>
      </c>
      <c r="B24" s="15" t="s">
        <v>167</v>
      </c>
      <c r="C24" s="15" t="s">
        <v>168</v>
      </c>
      <c r="D24" s="11"/>
      <c r="E24" s="25" t="n">
        <v>31999</v>
      </c>
      <c r="F24" s="15" t="s">
        <v>139</v>
      </c>
      <c r="G24" s="26" t="n">
        <f aca="false">預算總表!$B$7</f>
        <v>4</v>
      </c>
      <c r="H24" s="26" t="n">
        <f aca="false">預算總表!$B$7*2</f>
        <v>8</v>
      </c>
      <c r="I24" s="27" t="n">
        <f aca="false">IF(E24="","待報價",E24*G24)</f>
        <v>127996</v>
      </c>
      <c r="J24" s="27" t="n">
        <f aca="false">IF(E24="","待報價",E24*H24)</f>
        <v>255992</v>
      </c>
      <c r="K24" s="28"/>
      <c r="L24" s="15" t="s">
        <v>169</v>
      </c>
      <c r="M24" s="29" t="s">
        <v>74</v>
      </c>
      <c r="N24" s="11" t="s">
        <v>75</v>
      </c>
      <c r="O24" s="14" t="s">
        <v>166</v>
      </c>
      <c r="P24" s="13"/>
    </row>
    <row r="25" customFormat="false" ht="29.25" hidden="false" customHeight="true" outlineLevel="0" collapsed="false">
      <c r="A25" s="15" t="s">
        <v>162</v>
      </c>
      <c r="B25" s="11" t="s">
        <v>170</v>
      </c>
      <c r="C25" s="11"/>
      <c r="D25" s="11"/>
      <c r="E25" s="25"/>
      <c r="F25" s="15" t="s">
        <v>123</v>
      </c>
      <c r="G25" s="25" t="n">
        <v>1</v>
      </c>
      <c r="H25" s="25" t="n">
        <v>2</v>
      </c>
      <c r="I25" s="27" t="str">
        <f aca="false">IF(E25="","待報價",E25*G25)</f>
        <v>待報價</v>
      </c>
      <c r="J25" s="27" t="str">
        <f aca="false">IF(E25="","待報價",E25*H25)</f>
        <v>待報價</v>
      </c>
      <c r="K25" s="28"/>
      <c r="L25" s="15" t="s">
        <v>171</v>
      </c>
      <c r="M25" s="29" t="s">
        <v>74</v>
      </c>
      <c r="N25" s="11" t="s">
        <v>75</v>
      </c>
      <c r="O25" s="14" t="s">
        <v>172</v>
      </c>
      <c r="P25" s="13"/>
    </row>
    <row r="26" customFormat="false" ht="15" hidden="false" customHeight="true" outlineLevel="0" collapsed="false">
      <c r="A26" s="15" t="s">
        <v>173</v>
      </c>
      <c r="B26" s="11" t="s">
        <v>174</v>
      </c>
      <c r="C26" s="15" t="s">
        <v>175</v>
      </c>
      <c r="D26" s="15" t="s">
        <v>176</v>
      </c>
      <c r="E26" s="25" t="n">
        <v>65000</v>
      </c>
      <c r="F26" s="15" t="s">
        <v>139</v>
      </c>
      <c r="G26" s="25" t="n">
        <v>1</v>
      </c>
      <c r="H26" s="25" t="n">
        <v>1</v>
      </c>
      <c r="I26" s="27" t="n">
        <f aca="false">IF(E26="","待報價",E26*G26)</f>
        <v>65000</v>
      </c>
      <c r="J26" s="27" t="n">
        <f aca="false">IF(E26="","待報價",E26*H26)</f>
        <v>65000</v>
      </c>
      <c r="K26" s="28" t="s">
        <v>72</v>
      </c>
      <c r="L26" s="15" t="s">
        <v>177</v>
      </c>
      <c r="M26" s="29" t="s">
        <v>74</v>
      </c>
      <c r="N26" s="11" t="s">
        <v>75</v>
      </c>
      <c r="O26" s="14" t="s">
        <v>178</v>
      </c>
      <c r="P26" s="13"/>
    </row>
    <row r="27" customFormat="false" ht="26.25" hidden="false" customHeight="true" outlineLevel="0" collapsed="false">
      <c r="A27" s="15" t="s">
        <v>173</v>
      </c>
      <c r="B27" s="11" t="s">
        <v>174</v>
      </c>
      <c r="C27" s="11" t="s">
        <v>179</v>
      </c>
      <c r="D27" s="15" t="s">
        <v>180</v>
      </c>
      <c r="E27" s="25" t="n">
        <v>70000</v>
      </c>
      <c r="F27" s="15" t="s">
        <v>139</v>
      </c>
      <c r="G27" s="25" t="n">
        <v>1</v>
      </c>
      <c r="H27" s="25" t="n">
        <v>1</v>
      </c>
      <c r="I27" s="27" t="n">
        <f aca="false">IF(E27="","待報價",E27*G27)</f>
        <v>70000</v>
      </c>
      <c r="J27" s="27" t="n">
        <f aca="false">IF(E27="","待報價",E27*H27)</f>
        <v>70000</v>
      </c>
      <c r="K27" s="28"/>
      <c r="L27" s="15" t="s">
        <v>177</v>
      </c>
      <c r="M27" s="29" t="s">
        <v>74</v>
      </c>
      <c r="N27" s="11" t="s">
        <v>75</v>
      </c>
      <c r="O27" s="14" t="s">
        <v>181</v>
      </c>
      <c r="P27" s="13"/>
    </row>
    <row r="28" customFormat="false" ht="15" hidden="false" customHeight="true" outlineLevel="0" collapsed="false">
      <c r="A28" s="15" t="s">
        <v>173</v>
      </c>
      <c r="B28" s="11" t="s">
        <v>174</v>
      </c>
      <c r="C28" s="11" t="s">
        <v>182</v>
      </c>
      <c r="D28" s="15" t="s">
        <v>183</v>
      </c>
      <c r="E28" s="25" t="n">
        <v>80000</v>
      </c>
      <c r="F28" s="15" t="s">
        <v>139</v>
      </c>
      <c r="G28" s="25" t="n">
        <v>1</v>
      </c>
      <c r="H28" s="25" t="n">
        <v>1</v>
      </c>
      <c r="I28" s="27" t="n">
        <f aca="false">IF(E28="","待報價",E28*G28)</f>
        <v>80000</v>
      </c>
      <c r="J28" s="27" t="n">
        <f aca="false">IF(E28="","待報價",E28*H28)</f>
        <v>80000</v>
      </c>
      <c r="K28" s="28"/>
      <c r="L28" s="15" t="s">
        <v>177</v>
      </c>
      <c r="M28" s="29" t="s">
        <v>74</v>
      </c>
      <c r="N28" s="11" t="s">
        <v>75</v>
      </c>
      <c r="O28" s="14" t="s">
        <v>181</v>
      </c>
      <c r="P28" s="13"/>
    </row>
    <row r="29" customFormat="false" ht="15" hidden="false" customHeight="true" outlineLevel="0" collapsed="false">
      <c r="A29" s="15" t="s">
        <v>173</v>
      </c>
      <c r="B29" s="11" t="s">
        <v>174</v>
      </c>
      <c r="C29" s="11" t="s">
        <v>184</v>
      </c>
      <c r="D29" s="15" t="s">
        <v>183</v>
      </c>
      <c r="E29" s="25" t="n">
        <v>80000</v>
      </c>
      <c r="F29" s="15" t="s">
        <v>139</v>
      </c>
      <c r="G29" s="25" t="n">
        <v>1</v>
      </c>
      <c r="H29" s="25" t="n">
        <v>1</v>
      </c>
      <c r="I29" s="27" t="n">
        <f aca="false">IF(E29="","待報價",E29*G29)</f>
        <v>80000</v>
      </c>
      <c r="J29" s="27" t="n">
        <f aca="false">IF(E29="","待報價",E29*H29)</f>
        <v>80000</v>
      </c>
      <c r="K29" s="28"/>
      <c r="L29" s="15" t="s">
        <v>177</v>
      </c>
      <c r="M29" s="29" t="s">
        <v>74</v>
      </c>
      <c r="N29" s="11" t="s">
        <v>75</v>
      </c>
      <c r="O29" s="14" t="s">
        <v>181</v>
      </c>
      <c r="P29" s="13"/>
    </row>
    <row r="30" customFormat="false" ht="15" hidden="false" customHeight="true" outlineLevel="0" collapsed="false">
      <c r="A30" s="15" t="s">
        <v>173</v>
      </c>
      <c r="B30" s="11" t="s">
        <v>174</v>
      </c>
      <c r="C30" s="11" t="s">
        <v>185</v>
      </c>
      <c r="D30" s="15" t="s">
        <v>186</v>
      </c>
      <c r="E30" s="25" t="n">
        <v>80000</v>
      </c>
      <c r="F30" s="15" t="s">
        <v>139</v>
      </c>
      <c r="G30" s="25" t="n">
        <v>1</v>
      </c>
      <c r="H30" s="25" t="n">
        <v>1</v>
      </c>
      <c r="I30" s="27" t="n">
        <f aca="false">IF(E30="","待報價",E30*G30)</f>
        <v>80000</v>
      </c>
      <c r="J30" s="27" t="n">
        <f aca="false">IF(E30="","待報價",E30*H30)</f>
        <v>80000</v>
      </c>
      <c r="K30" s="28"/>
      <c r="L30" s="15" t="s">
        <v>177</v>
      </c>
      <c r="M30" s="29" t="s">
        <v>74</v>
      </c>
      <c r="N30" s="11" t="s">
        <v>75</v>
      </c>
      <c r="O30" s="14" t="s">
        <v>181</v>
      </c>
      <c r="P30" s="13"/>
    </row>
    <row r="31" customFormat="false" ht="15" hidden="false" customHeight="true" outlineLevel="0" collapsed="false">
      <c r="A31" s="15" t="s">
        <v>173</v>
      </c>
      <c r="B31" s="11" t="s">
        <v>187</v>
      </c>
      <c r="C31" s="11"/>
      <c r="D31" s="15" t="s">
        <v>188</v>
      </c>
      <c r="E31" s="25" t="n">
        <v>8000</v>
      </c>
      <c r="F31" s="15" t="s">
        <v>189</v>
      </c>
      <c r="G31" s="25" t="n">
        <v>1</v>
      </c>
      <c r="H31" s="25" t="n">
        <v>1</v>
      </c>
      <c r="I31" s="27" t="n">
        <f aca="false">IF(E31="","待報價",E31*G31)</f>
        <v>8000</v>
      </c>
      <c r="J31" s="27" t="n">
        <f aca="false">IF(E31="","待報價",E31*H31)</f>
        <v>8000</v>
      </c>
      <c r="K31" s="28" t="s">
        <v>72</v>
      </c>
      <c r="L31" s="15" t="s">
        <v>177</v>
      </c>
      <c r="M31" s="29" t="s">
        <v>74</v>
      </c>
      <c r="N31" s="11" t="s">
        <v>75</v>
      </c>
      <c r="O31" s="14" t="s">
        <v>181</v>
      </c>
      <c r="P31" s="13"/>
    </row>
    <row r="32" customFormat="false" ht="15" hidden="false" customHeight="true" outlineLevel="0" collapsed="false">
      <c r="A32" s="15" t="s">
        <v>190</v>
      </c>
      <c r="B32" s="15" t="s">
        <v>191</v>
      </c>
      <c r="C32" s="11" t="s">
        <v>192</v>
      </c>
      <c r="D32" s="11"/>
      <c r="E32" s="25"/>
      <c r="F32" s="15" t="s">
        <v>193</v>
      </c>
      <c r="G32" s="25" t="n">
        <v>12</v>
      </c>
      <c r="H32" s="25" t="n">
        <v>12</v>
      </c>
      <c r="I32" s="27" t="str">
        <f aca="false">IF(E32="","待報價",E32*G32)</f>
        <v>待報價</v>
      </c>
      <c r="J32" s="27" t="str">
        <f aca="false">IF(E32="","待報價",E32*H32)</f>
        <v>待報價</v>
      </c>
      <c r="K32" s="28"/>
      <c r="L32" s="15" t="s">
        <v>194</v>
      </c>
      <c r="M32" s="29" t="s">
        <v>74</v>
      </c>
      <c r="N32" s="11" t="s">
        <v>75</v>
      </c>
      <c r="O32" s="14" t="s">
        <v>195</v>
      </c>
      <c r="P32" s="14" t="s">
        <v>196</v>
      </c>
    </row>
    <row r="33" customFormat="false" ht="15" hidden="false" customHeight="true" outlineLevel="0" collapsed="false">
      <c r="A33" s="15" t="s">
        <v>190</v>
      </c>
      <c r="B33" s="15" t="s">
        <v>197</v>
      </c>
      <c r="C33" s="15" t="s">
        <v>198</v>
      </c>
      <c r="D33" s="11"/>
      <c r="E33" s="25"/>
      <c r="F33" s="15" t="s">
        <v>193</v>
      </c>
      <c r="G33" s="25" t="n">
        <v>12</v>
      </c>
      <c r="H33" s="25" t="n">
        <v>12</v>
      </c>
      <c r="I33" s="27" t="str">
        <f aca="false">IF(E33="","待報價",E33*G33)</f>
        <v>待報價</v>
      </c>
      <c r="J33" s="27" t="str">
        <f aca="false">IF(E33="","待報價",E33*H33)</f>
        <v>待報價</v>
      </c>
      <c r="K33" s="28"/>
      <c r="L33" s="15" t="s">
        <v>194</v>
      </c>
      <c r="M33" s="29" t="s">
        <v>74</v>
      </c>
      <c r="N33" s="11" t="s">
        <v>75</v>
      </c>
      <c r="O33" s="14" t="s">
        <v>195</v>
      </c>
      <c r="P33" s="14" t="s">
        <v>199</v>
      </c>
    </row>
  </sheetData>
  <autoFilter ref="A1:P33"/>
  <hyperlinks>
    <hyperlink ref="M2" r:id="rId1" display="開啟連結"/>
    <hyperlink ref="M3" r:id="rId2" display="開啟連結"/>
    <hyperlink ref="M4" r:id="rId3" display="開啟連結"/>
    <hyperlink ref="M5" r:id="rId4" display="開啟連結"/>
    <hyperlink ref="M6" r:id="rId5" display="開啟連結"/>
    <hyperlink ref="M7" r:id="rId6" display="開啟連結"/>
    <hyperlink ref="M9" r:id="rId7" display="開啟連結"/>
    <hyperlink ref="M10" r:id="rId8" display="開啟連結"/>
    <hyperlink ref="M11" r:id="rId9" display="開啟連結"/>
    <hyperlink ref="M12" r:id="rId10" display="開啟連結"/>
    <hyperlink ref="M15" r:id="rId11" display="開啟連結"/>
    <hyperlink ref="M16" r:id="rId12" display="開啟連結"/>
    <hyperlink ref="M17" r:id="rId13" display="開啟連結"/>
    <hyperlink ref="M18" r:id="rId14" display="開啟連結"/>
    <hyperlink ref="M19" r:id="rId15" display="開啟連結"/>
    <hyperlink ref="M20" r:id="rId16" display="開啟連結"/>
    <hyperlink ref="M21" r:id="rId17" display="開啟連結"/>
    <hyperlink ref="M22" r:id="rId18" display="開啟連結"/>
    <hyperlink ref="M23" r:id="rId19" display="開啟連結"/>
    <hyperlink ref="M24" r:id="rId20" display="開啟連結"/>
    <hyperlink ref="M25" r:id="rId21" display="開啟連結"/>
    <hyperlink ref="M26" r:id="rId22" display="開啟連結"/>
    <hyperlink ref="M27" r:id="rId23" display="開啟連結"/>
    <hyperlink ref="M28" r:id="rId24" display="開啟連結"/>
    <hyperlink ref="M29" r:id="rId25" display="開啟連結"/>
    <hyperlink ref="M30" r:id="rId26" display="開啟連結"/>
    <hyperlink ref="M31" r:id="rId27" display="開啟連結"/>
    <hyperlink ref="M32" r:id="rId28" display="開啟連結"/>
    <hyperlink ref="M33" r:id="rId29" display="開啟連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34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9" t="s">
        <v>200</v>
      </c>
    </row>
    <row r="3" customFormat="false" ht="30" hidden="false" customHeight="true" outlineLevel="0" collapsed="false">
      <c r="A3" s="16" t="s">
        <v>201</v>
      </c>
      <c r="B3" s="16" t="s">
        <v>202</v>
      </c>
      <c r="C3" s="16" t="s">
        <v>203</v>
      </c>
      <c r="D3" s="24" t="s">
        <v>204</v>
      </c>
      <c r="E3" s="24" t="s">
        <v>205</v>
      </c>
      <c r="F3" s="16" t="s">
        <v>206</v>
      </c>
      <c r="G3" s="16" t="s">
        <v>207</v>
      </c>
      <c r="H3" s="16" t="s">
        <v>64</v>
      </c>
    </row>
    <row r="4" customFormat="false" ht="29.25" hidden="false" customHeight="true" outlineLevel="0" collapsed="false">
      <c r="A4" s="15" t="s">
        <v>208</v>
      </c>
      <c r="B4" s="25" t="n">
        <v>419</v>
      </c>
      <c r="C4" s="25" t="n">
        <v>545</v>
      </c>
      <c r="D4" s="26" t="n">
        <f aca="false">IF(B4="","待報價",B4*預算總表!$B$4)</f>
        <v>150840</v>
      </c>
      <c r="E4" s="26" t="n">
        <f aca="false">IF(C4="","待報價",C4*預算總表!$B$4)</f>
        <v>196200</v>
      </c>
      <c r="F4" s="15" t="s">
        <v>209</v>
      </c>
      <c r="G4" s="15" t="s">
        <v>210</v>
      </c>
      <c r="H4" s="29" t="s">
        <v>74</v>
      </c>
    </row>
    <row r="5" customFormat="false" ht="29.25" hidden="false" customHeight="true" outlineLevel="0" collapsed="false">
      <c r="A5" s="11" t="s">
        <v>211</v>
      </c>
      <c r="B5" s="25" t="n">
        <v>650</v>
      </c>
      <c r="C5" s="25"/>
      <c r="D5" s="26" t="n">
        <f aca="false">IF(B5="","待報價",B5*預算總表!$B$4)</f>
        <v>234000</v>
      </c>
      <c r="E5" s="26" t="str">
        <f aca="false">IF(C5="","待報價",C5*預算總表!$B$4)</f>
        <v>待報價</v>
      </c>
      <c r="F5" s="15" t="s">
        <v>212</v>
      </c>
      <c r="G5" s="15" t="s">
        <v>213</v>
      </c>
      <c r="H5" s="29" t="s">
        <v>74</v>
      </c>
    </row>
    <row r="6" customFormat="false" ht="29.25" hidden="false" customHeight="true" outlineLevel="0" collapsed="false">
      <c r="A6" s="15" t="s">
        <v>214</v>
      </c>
      <c r="B6" s="25"/>
      <c r="C6" s="25"/>
      <c r="D6" s="26" t="str">
        <f aca="false">IF(B6="","待報價",B6*預算總表!$B$4)</f>
        <v>待報價</v>
      </c>
      <c r="E6" s="26" t="str">
        <f aca="false">IF(C6="","待報價",C6*預算總表!$B$4)</f>
        <v>待報價</v>
      </c>
      <c r="F6" s="15" t="s">
        <v>215</v>
      </c>
      <c r="G6" s="15" t="s">
        <v>216</v>
      </c>
      <c r="H6" s="29" t="s">
        <v>74</v>
      </c>
    </row>
    <row r="7" customFormat="false" ht="15" hidden="false" customHeight="true" outlineLevel="0" collapsed="false">
      <c r="A7" s="15" t="s">
        <v>217</v>
      </c>
      <c r="B7" s="25"/>
      <c r="C7" s="25"/>
      <c r="D7" s="26" t="str">
        <f aca="false">IF(B7="","待報價",B7*預算總表!$B$4)</f>
        <v>待報價</v>
      </c>
      <c r="E7" s="26" t="str">
        <f aca="false">IF(C7="","待報價",C7*預算總表!$B$4)</f>
        <v>待報價</v>
      </c>
      <c r="F7" s="15" t="s">
        <v>218</v>
      </c>
      <c r="G7" s="15" t="s">
        <v>219</v>
      </c>
      <c r="H7" s="29"/>
    </row>
    <row r="10" customFormat="false" ht="15" hidden="false" customHeight="true" outlineLevel="0" collapsed="false">
      <c r="A10" s="30" t="s">
        <v>220</v>
      </c>
    </row>
    <row r="11" customFormat="false" ht="30" hidden="false" customHeight="true" outlineLevel="0" collapsed="false">
      <c r="A11" s="16" t="s">
        <v>221</v>
      </c>
      <c r="B11" s="16" t="s">
        <v>222</v>
      </c>
      <c r="C11" s="16" t="s">
        <v>223</v>
      </c>
      <c r="D11" s="16" t="s">
        <v>224</v>
      </c>
      <c r="E11" s="16"/>
      <c r="F11" s="16"/>
      <c r="G11" s="16"/>
      <c r="H11" s="16" t="s">
        <v>64</v>
      </c>
    </row>
    <row r="12" customFormat="false" ht="43.5" hidden="false" customHeight="true" outlineLevel="0" collapsed="false">
      <c r="A12" s="15" t="s">
        <v>225</v>
      </c>
      <c r="B12" s="15" t="s">
        <v>226</v>
      </c>
      <c r="C12" s="11" t="s">
        <v>227</v>
      </c>
      <c r="D12" s="13" t="s">
        <v>228</v>
      </c>
      <c r="E12" s="11"/>
      <c r="F12" s="11"/>
      <c r="G12" s="11"/>
      <c r="H12" s="29" t="s">
        <v>74</v>
      </c>
    </row>
    <row r="13" customFormat="false" ht="57.75" hidden="false" customHeight="true" outlineLevel="0" collapsed="false">
      <c r="A13" s="15" t="s">
        <v>229</v>
      </c>
      <c r="B13" s="15" t="s">
        <v>230</v>
      </c>
      <c r="C13" s="15" t="s">
        <v>231</v>
      </c>
      <c r="D13" s="14" t="s">
        <v>232</v>
      </c>
      <c r="E13" s="11"/>
      <c r="F13" s="11"/>
      <c r="G13" s="11"/>
      <c r="H13" s="29" t="s">
        <v>74</v>
      </c>
    </row>
    <row r="14" customFormat="false" ht="57.75" hidden="false" customHeight="true" outlineLevel="0" collapsed="false">
      <c r="A14" s="11" t="s">
        <v>233</v>
      </c>
      <c r="B14" s="15" t="s">
        <v>230</v>
      </c>
      <c r="C14" s="15" t="s">
        <v>234</v>
      </c>
      <c r="D14" s="13" t="s">
        <v>228</v>
      </c>
      <c r="E14" s="11"/>
      <c r="F14" s="11"/>
      <c r="G14" s="11"/>
      <c r="H14" s="29" t="s">
        <v>74</v>
      </c>
    </row>
    <row r="15" customFormat="false" ht="43.5" hidden="false" customHeight="true" outlineLevel="0" collapsed="false">
      <c r="A15" s="15" t="s">
        <v>235</v>
      </c>
      <c r="B15" s="15" t="s">
        <v>236</v>
      </c>
      <c r="C15" s="15" t="s">
        <v>237</v>
      </c>
      <c r="D15" s="13" t="s">
        <v>228</v>
      </c>
      <c r="E15" s="11"/>
      <c r="F15" s="11"/>
      <c r="G15" s="11"/>
      <c r="H15" s="29" t="s">
        <v>74</v>
      </c>
    </row>
    <row r="16" customFormat="false" ht="29.25" hidden="false" customHeight="true" outlineLevel="0" collapsed="false">
      <c r="A16" s="15" t="s">
        <v>238</v>
      </c>
      <c r="B16" s="15" t="s">
        <v>239</v>
      </c>
      <c r="C16" s="15" t="s">
        <v>240</v>
      </c>
      <c r="D16" s="13" t="s">
        <v>241</v>
      </c>
      <c r="E16" s="11"/>
      <c r="F16" s="11"/>
      <c r="G16" s="11"/>
      <c r="H16" s="29" t="s">
        <v>74</v>
      </c>
    </row>
    <row r="17" customFormat="false" ht="43.5" hidden="false" customHeight="true" outlineLevel="0" collapsed="false">
      <c r="A17" s="15" t="s">
        <v>242</v>
      </c>
      <c r="B17" s="15" t="s">
        <v>243</v>
      </c>
      <c r="C17" s="15" t="s">
        <v>244</v>
      </c>
      <c r="D17" s="14" t="s">
        <v>245</v>
      </c>
      <c r="E17" s="11"/>
      <c r="F17" s="11"/>
      <c r="G17" s="11"/>
      <c r="H17" s="29" t="s">
        <v>74</v>
      </c>
    </row>
    <row r="19" customFormat="false" ht="15" hidden="false" customHeight="true" outlineLevel="0" collapsed="false">
      <c r="A19" s="3" t="s">
        <v>246</v>
      </c>
    </row>
  </sheetData>
  <hyperlinks>
    <hyperlink ref="H4" r:id="rId1" display="開啟連結"/>
    <hyperlink ref="H5" r:id="rId2" display="開啟連結"/>
    <hyperlink ref="H6" r:id="rId3" display="開啟連結"/>
    <hyperlink ref="H12" r:id="rId4" display="開啟連結"/>
    <hyperlink ref="H13" r:id="rId5" display="開啟連結"/>
    <hyperlink ref="H14" r:id="rId6" display="開啟連結"/>
    <hyperlink ref="H15" r:id="rId7" display="開啟連結"/>
    <hyperlink ref="H16" r:id="rId8" display="開啟連結"/>
    <hyperlink ref="H17" r:id="rId9" display="開啟連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0" min="9" style="1" width="10"/>
    <col collapsed="false" customWidth="true" hidden="false" outlineLevel="0" max="11" min="11" style="1" width="14"/>
    <col collapsed="false" customWidth="true" hidden="false" outlineLevel="0" max="12" min="12" style="1" width="18"/>
    <col collapsed="false" customWidth="true" hidden="false" outlineLevel="0" max="13" min="13" style="1" width="30"/>
  </cols>
  <sheetData>
    <row r="1" customFormat="false" ht="30" hidden="false" customHeight="true" outlineLevel="0" collapsed="false">
      <c r="A1" s="16" t="s">
        <v>52</v>
      </c>
      <c r="B1" s="16" t="s">
        <v>247</v>
      </c>
      <c r="C1" s="16" t="s">
        <v>248</v>
      </c>
      <c r="D1" s="16" t="s">
        <v>249</v>
      </c>
      <c r="E1" s="16" t="s">
        <v>250</v>
      </c>
      <c r="F1" s="16" t="s">
        <v>251</v>
      </c>
      <c r="G1" s="16" t="s">
        <v>252</v>
      </c>
      <c r="H1" s="16" t="s">
        <v>253</v>
      </c>
      <c r="I1" s="16" t="s">
        <v>254</v>
      </c>
      <c r="J1" s="16" t="s">
        <v>255</v>
      </c>
      <c r="K1" s="16" t="s">
        <v>256</v>
      </c>
      <c r="L1" s="16" t="s">
        <v>257</v>
      </c>
      <c r="M1" s="16" t="s">
        <v>66</v>
      </c>
    </row>
    <row r="2" customFormat="false" ht="15" hidden="false" customHeight="true" outlineLevel="0" collapsed="false">
      <c r="A2" s="31" t="s">
        <v>31</v>
      </c>
      <c r="B2" s="31" t="s">
        <v>258</v>
      </c>
      <c r="C2" s="31" t="s">
        <v>259</v>
      </c>
      <c r="D2" s="32" t="s">
        <v>260</v>
      </c>
      <c r="E2" s="32" t="s">
        <v>261</v>
      </c>
      <c r="F2" s="33" t="n">
        <v>520000</v>
      </c>
      <c r="G2" s="31" t="s">
        <v>262</v>
      </c>
      <c r="H2" s="31" t="s">
        <v>262</v>
      </c>
      <c r="I2" s="32" t="s">
        <v>263</v>
      </c>
      <c r="J2" s="32" t="s">
        <v>264</v>
      </c>
      <c r="K2" s="31" t="s">
        <v>265</v>
      </c>
      <c r="L2" s="31"/>
      <c r="M2" s="31" t="s">
        <v>266</v>
      </c>
    </row>
    <row r="3" customFormat="false" ht="15" hidden="false" customHeight="true" outlineLevel="0" collapsed="false">
      <c r="A3" s="15" t="s">
        <v>31</v>
      </c>
      <c r="B3" s="34"/>
      <c r="C3" s="34"/>
      <c r="D3" s="34"/>
      <c r="E3" s="34"/>
      <c r="F3" s="25"/>
      <c r="G3" s="34"/>
      <c r="H3" s="34"/>
      <c r="I3" s="34"/>
      <c r="J3" s="34"/>
      <c r="K3" s="34"/>
      <c r="L3" s="34"/>
      <c r="M3" s="34"/>
    </row>
    <row r="4" customFormat="false" ht="15" hidden="false" customHeight="true" outlineLevel="0" collapsed="false">
      <c r="A4" s="15" t="s">
        <v>31</v>
      </c>
      <c r="B4" s="34"/>
      <c r="C4" s="34"/>
      <c r="D4" s="34"/>
      <c r="E4" s="34"/>
      <c r="F4" s="25"/>
      <c r="G4" s="34"/>
      <c r="H4" s="34"/>
      <c r="I4" s="34"/>
      <c r="J4" s="34"/>
      <c r="K4" s="34"/>
      <c r="L4" s="34"/>
      <c r="M4" s="34"/>
    </row>
    <row r="5" customFormat="false" ht="15" hidden="false" customHeight="true" outlineLevel="0" collapsed="false">
      <c r="A5" s="15" t="s">
        <v>31</v>
      </c>
      <c r="B5" s="34"/>
      <c r="C5" s="34"/>
      <c r="D5" s="34"/>
      <c r="E5" s="34"/>
      <c r="F5" s="25"/>
      <c r="G5" s="34"/>
      <c r="H5" s="34"/>
      <c r="I5" s="34"/>
      <c r="J5" s="34"/>
      <c r="K5" s="34"/>
      <c r="L5" s="34"/>
      <c r="M5" s="34"/>
    </row>
    <row r="6" customFormat="false" ht="15" hidden="false" customHeight="true" outlineLevel="0" collapsed="false">
      <c r="A6" s="15" t="s">
        <v>267</v>
      </c>
      <c r="B6" s="34"/>
      <c r="C6" s="34"/>
      <c r="D6" s="34"/>
      <c r="E6" s="34"/>
      <c r="F6" s="25"/>
      <c r="G6" s="34"/>
      <c r="H6" s="34"/>
      <c r="I6" s="34"/>
      <c r="J6" s="34"/>
      <c r="K6" s="34"/>
      <c r="L6" s="34"/>
      <c r="M6" s="34"/>
    </row>
    <row r="7" customFormat="false" ht="15" hidden="false" customHeight="true" outlineLevel="0" collapsed="false">
      <c r="A7" s="15" t="s">
        <v>267</v>
      </c>
      <c r="B7" s="34"/>
      <c r="C7" s="34"/>
      <c r="D7" s="34"/>
      <c r="E7" s="34"/>
      <c r="F7" s="25"/>
      <c r="G7" s="34"/>
      <c r="H7" s="34"/>
      <c r="I7" s="34"/>
      <c r="J7" s="34"/>
      <c r="K7" s="34"/>
      <c r="L7" s="34"/>
      <c r="M7" s="34"/>
    </row>
    <row r="8" customFormat="false" ht="15" hidden="false" customHeight="true" outlineLevel="0" collapsed="false">
      <c r="A8" s="15" t="s">
        <v>267</v>
      </c>
      <c r="B8" s="34"/>
      <c r="C8" s="34"/>
      <c r="D8" s="34"/>
      <c r="E8" s="34"/>
      <c r="F8" s="25"/>
      <c r="G8" s="34"/>
      <c r="H8" s="34"/>
      <c r="I8" s="34"/>
      <c r="J8" s="34"/>
      <c r="K8" s="34"/>
      <c r="L8" s="34"/>
      <c r="M8" s="34"/>
    </row>
    <row r="9" customFormat="false" ht="29.25" hidden="false" customHeight="true" outlineLevel="0" collapsed="false">
      <c r="A9" s="15" t="s">
        <v>268</v>
      </c>
      <c r="B9" s="34"/>
      <c r="C9" s="34"/>
      <c r="D9" s="34"/>
      <c r="E9" s="34"/>
      <c r="F9" s="25"/>
      <c r="G9" s="34"/>
      <c r="H9" s="34"/>
      <c r="I9" s="34"/>
      <c r="J9" s="34"/>
      <c r="K9" s="34"/>
      <c r="L9" s="34"/>
      <c r="M9" s="34"/>
    </row>
    <row r="10" customFormat="false" ht="29.25" hidden="false" customHeight="true" outlineLevel="0" collapsed="false">
      <c r="A10" s="15" t="s">
        <v>268</v>
      </c>
      <c r="B10" s="34"/>
      <c r="C10" s="34"/>
      <c r="D10" s="34"/>
      <c r="E10" s="34"/>
      <c r="F10" s="25"/>
      <c r="G10" s="34"/>
      <c r="H10" s="34"/>
      <c r="I10" s="34"/>
      <c r="J10" s="34"/>
      <c r="K10" s="34"/>
      <c r="L10" s="34"/>
      <c r="M10" s="34"/>
    </row>
    <row r="11" customFormat="false" ht="29.25" hidden="false" customHeight="true" outlineLevel="0" collapsed="false">
      <c r="A11" s="15" t="s">
        <v>268</v>
      </c>
      <c r="B11" s="34"/>
      <c r="C11" s="34"/>
      <c r="D11" s="34"/>
      <c r="E11" s="34"/>
      <c r="F11" s="25"/>
      <c r="G11" s="34"/>
      <c r="H11" s="34"/>
      <c r="I11" s="34"/>
      <c r="J11" s="34"/>
      <c r="K11" s="34"/>
      <c r="L11" s="34"/>
      <c r="M11" s="34"/>
    </row>
    <row r="12" customFormat="false" ht="15" hidden="false" customHeight="true" outlineLevel="0" collapsed="false">
      <c r="A12" s="15" t="s">
        <v>269</v>
      </c>
      <c r="B12" s="34"/>
      <c r="C12" s="34"/>
      <c r="D12" s="34"/>
      <c r="E12" s="34"/>
      <c r="F12" s="25"/>
      <c r="G12" s="34"/>
      <c r="H12" s="34"/>
      <c r="I12" s="34"/>
      <c r="J12" s="34"/>
      <c r="K12" s="34"/>
      <c r="L12" s="34"/>
      <c r="M12" s="34"/>
    </row>
    <row r="13" customFormat="false" ht="15" hidden="false" customHeight="true" outlineLevel="0" collapsed="false">
      <c r="A13" s="15" t="s">
        <v>269</v>
      </c>
      <c r="B13" s="34"/>
      <c r="C13" s="34"/>
      <c r="D13" s="34"/>
      <c r="E13" s="34"/>
      <c r="F13" s="25"/>
      <c r="G13" s="34"/>
      <c r="H13" s="34"/>
      <c r="I13" s="34"/>
      <c r="J13" s="34"/>
      <c r="K13" s="34"/>
      <c r="L13" s="34"/>
      <c r="M13" s="34"/>
    </row>
    <row r="14" customFormat="false" ht="15" hidden="false" customHeight="true" outlineLevel="0" collapsed="false">
      <c r="A14" s="15" t="s">
        <v>269</v>
      </c>
      <c r="B14" s="34"/>
      <c r="C14" s="34"/>
      <c r="D14" s="34"/>
      <c r="E14" s="34"/>
      <c r="F14" s="25"/>
      <c r="G14" s="34"/>
      <c r="H14" s="34"/>
      <c r="I14" s="34"/>
      <c r="J14" s="34"/>
      <c r="K14" s="34"/>
      <c r="L14" s="34"/>
      <c r="M14" s="34"/>
    </row>
    <row r="15" customFormat="false" ht="29.25" hidden="false" customHeight="true" outlineLevel="0" collapsed="false">
      <c r="A15" s="15" t="s">
        <v>270</v>
      </c>
      <c r="B15" s="34"/>
      <c r="C15" s="34"/>
      <c r="D15" s="34"/>
      <c r="E15" s="34"/>
      <c r="F15" s="25"/>
      <c r="G15" s="34"/>
      <c r="H15" s="34"/>
      <c r="I15" s="34"/>
      <c r="J15" s="34"/>
      <c r="K15" s="34"/>
      <c r="L15" s="34"/>
      <c r="M15" s="34"/>
    </row>
    <row r="16" customFormat="false" ht="29.25" hidden="false" customHeight="true" outlineLevel="0" collapsed="false">
      <c r="A16" s="15" t="s">
        <v>270</v>
      </c>
      <c r="B16" s="34"/>
      <c r="C16" s="34"/>
      <c r="D16" s="34"/>
      <c r="E16" s="34"/>
      <c r="F16" s="25"/>
      <c r="G16" s="34"/>
      <c r="H16" s="34"/>
      <c r="I16" s="34"/>
      <c r="J16" s="34"/>
      <c r="K16" s="34"/>
      <c r="L16" s="34"/>
      <c r="M16" s="34"/>
    </row>
    <row r="17" customFormat="false" ht="29.25" hidden="false" customHeight="true" outlineLevel="0" collapsed="false">
      <c r="A17" s="15" t="s">
        <v>270</v>
      </c>
      <c r="B17" s="34"/>
      <c r="C17" s="34"/>
      <c r="D17" s="34"/>
      <c r="E17" s="34"/>
      <c r="F17" s="25"/>
      <c r="G17" s="34"/>
      <c r="H17" s="34"/>
      <c r="I17" s="34"/>
      <c r="J17" s="34"/>
      <c r="K17" s="34"/>
      <c r="L17" s="34"/>
      <c r="M17" s="34"/>
    </row>
    <row r="18" customFormat="false" ht="15" hidden="false" customHeight="true" outlineLevel="0" collapsed="false">
      <c r="A18" s="15" t="s">
        <v>271</v>
      </c>
      <c r="B18" s="34"/>
      <c r="C18" s="34"/>
      <c r="D18" s="34"/>
      <c r="E18" s="34"/>
      <c r="F18" s="25"/>
      <c r="G18" s="34"/>
      <c r="H18" s="34"/>
      <c r="I18" s="34"/>
      <c r="J18" s="34"/>
      <c r="K18" s="34"/>
      <c r="L18" s="34"/>
      <c r="M18" s="34"/>
    </row>
    <row r="19" customFormat="false" ht="15" hidden="false" customHeight="true" outlineLevel="0" collapsed="false">
      <c r="A19" s="15" t="s">
        <v>271</v>
      </c>
      <c r="B19" s="34"/>
      <c r="C19" s="34"/>
      <c r="D19" s="34"/>
      <c r="E19" s="34"/>
      <c r="F19" s="25"/>
      <c r="G19" s="34"/>
      <c r="H19" s="34"/>
      <c r="I19" s="34"/>
      <c r="J19" s="34"/>
      <c r="K19" s="34"/>
      <c r="L19" s="34"/>
      <c r="M19" s="34"/>
    </row>
    <row r="20" customFormat="false" ht="15" hidden="false" customHeight="true" outlineLevel="0" collapsed="false">
      <c r="A20" s="15" t="s">
        <v>271</v>
      </c>
      <c r="B20" s="34"/>
      <c r="C20" s="34"/>
      <c r="D20" s="34"/>
      <c r="E20" s="34"/>
      <c r="F20" s="25"/>
      <c r="G20" s="34"/>
      <c r="H20" s="34"/>
      <c r="I20" s="34"/>
      <c r="J20" s="34"/>
      <c r="K20" s="34"/>
      <c r="L20" s="34"/>
      <c r="M20" s="34"/>
    </row>
    <row r="21" customFormat="false" ht="15" hidden="false" customHeight="true" outlineLevel="0" collapsed="false">
      <c r="A21" s="15" t="s">
        <v>272</v>
      </c>
      <c r="B21" s="34"/>
      <c r="C21" s="34"/>
      <c r="D21" s="34"/>
      <c r="E21" s="34"/>
      <c r="F21" s="25"/>
      <c r="G21" s="34"/>
      <c r="H21" s="34"/>
      <c r="I21" s="34"/>
      <c r="J21" s="34"/>
      <c r="K21" s="34"/>
      <c r="L21" s="34"/>
      <c r="M21" s="34"/>
    </row>
    <row r="22" customFormat="false" ht="15" hidden="false" customHeight="true" outlineLevel="0" collapsed="false">
      <c r="A22" s="15" t="s">
        <v>272</v>
      </c>
      <c r="B22" s="34"/>
      <c r="C22" s="34"/>
      <c r="D22" s="34"/>
      <c r="E22" s="34"/>
      <c r="F22" s="25"/>
      <c r="G22" s="34"/>
      <c r="H22" s="34"/>
      <c r="I22" s="34"/>
      <c r="J22" s="34"/>
      <c r="K22" s="34"/>
      <c r="L22" s="34"/>
      <c r="M22" s="34"/>
    </row>
    <row r="23" customFormat="false" ht="15" hidden="false" customHeight="true" outlineLevel="0" collapsed="false">
      <c r="A23" s="15" t="s">
        <v>272</v>
      </c>
      <c r="B23" s="34"/>
      <c r="C23" s="34"/>
      <c r="D23" s="34"/>
      <c r="E23" s="34"/>
      <c r="F23" s="25"/>
      <c r="G23" s="34"/>
      <c r="H23" s="34"/>
      <c r="I23" s="34"/>
      <c r="J23" s="34"/>
      <c r="K23" s="34"/>
      <c r="L23" s="34"/>
      <c r="M23" s="34"/>
    </row>
    <row r="24" customFormat="false" ht="15" hidden="false" customHeight="true" outlineLevel="0" collapsed="false">
      <c r="A24" s="15" t="s">
        <v>273</v>
      </c>
      <c r="B24" s="34"/>
      <c r="C24" s="34"/>
      <c r="D24" s="34"/>
      <c r="E24" s="34"/>
      <c r="F24" s="25"/>
      <c r="G24" s="34"/>
      <c r="H24" s="34"/>
      <c r="I24" s="34"/>
      <c r="J24" s="34"/>
      <c r="K24" s="34"/>
      <c r="L24" s="34"/>
      <c r="M24" s="34"/>
    </row>
    <row r="25" customFormat="false" ht="15" hidden="false" customHeight="true" outlineLevel="0" collapsed="false">
      <c r="A25" s="15" t="s">
        <v>273</v>
      </c>
      <c r="B25" s="34"/>
      <c r="C25" s="34"/>
      <c r="D25" s="34"/>
      <c r="E25" s="34"/>
      <c r="F25" s="25"/>
      <c r="G25" s="34"/>
      <c r="H25" s="34"/>
      <c r="I25" s="34"/>
      <c r="J25" s="34"/>
      <c r="K25" s="34"/>
      <c r="L25" s="34"/>
      <c r="M25" s="34"/>
    </row>
    <row r="26" customFormat="false" ht="15" hidden="false" customHeight="true" outlineLevel="0" collapsed="false">
      <c r="A26" s="15" t="s">
        <v>273</v>
      </c>
      <c r="B26" s="34"/>
      <c r="C26" s="34"/>
      <c r="D26" s="34"/>
      <c r="E26" s="34"/>
      <c r="F26" s="25"/>
      <c r="G26" s="34"/>
      <c r="H26" s="34"/>
      <c r="I26" s="34"/>
      <c r="J26" s="34"/>
      <c r="K26" s="34"/>
      <c r="L26" s="34"/>
      <c r="M26" s="34"/>
    </row>
    <row r="27" customFormat="false" ht="15" hidden="false" customHeight="true" outlineLevel="0" collapsed="false">
      <c r="A27" s="15" t="s">
        <v>274</v>
      </c>
      <c r="B27" s="34"/>
      <c r="C27" s="34"/>
      <c r="D27" s="34"/>
      <c r="E27" s="34"/>
      <c r="F27" s="25"/>
      <c r="G27" s="34"/>
      <c r="H27" s="34"/>
      <c r="I27" s="34"/>
      <c r="J27" s="34"/>
      <c r="K27" s="34"/>
      <c r="L27" s="34"/>
      <c r="M27" s="34"/>
    </row>
    <row r="28" customFormat="false" ht="15" hidden="false" customHeight="true" outlineLevel="0" collapsed="false">
      <c r="A28" s="15" t="s">
        <v>274</v>
      </c>
      <c r="B28" s="34"/>
      <c r="C28" s="34"/>
      <c r="D28" s="34"/>
      <c r="E28" s="34"/>
      <c r="F28" s="25"/>
      <c r="G28" s="34"/>
      <c r="H28" s="34"/>
      <c r="I28" s="34"/>
      <c r="J28" s="34"/>
      <c r="K28" s="34"/>
      <c r="L28" s="34"/>
      <c r="M28" s="34"/>
    </row>
    <row r="29" customFormat="false" ht="15" hidden="false" customHeight="true" outlineLevel="0" collapsed="false">
      <c r="A29" s="15" t="s">
        <v>274</v>
      </c>
      <c r="B29" s="34"/>
      <c r="C29" s="34"/>
      <c r="D29" s="34"/>
      <c r="E29" s="34"/>
      <c r="F29" s="25"/>
      <c r="G29" s="34"/>
      <c r="H29" s="34"/>
      <c r="I29" s="34"/>
      <c r="J29" s="34"/>
      <c r="K29" s="34"/>
      <c r="L29" s="34"/>
      <c r="M29" s="34"/>
    </row>
    <row r="30" customFormat="false" ht="15" hidden="false" customHeight="true" outlineLevel="0" collapsed="false">
      <c r="A30" s="15" t="s">
        <v>275</v>
      </c>
      <c r="B30" s="34"/>
      <c r="C30" s="34"/>
      <c r="D30" s="34"/>
      <c r="E30" s="34"/>
      <c r="F30" s="25"/>
      <c r="G30" s="34"/>
      <c r="H30" s="34"/>
      <c r="I30" s="34"/>
      <c r="J30" s="34"/>
      <c r="K30" s="34"/>
      <c r="L30" s="34"/>
      <c r="M30" s="34"/>
    </row>
    <row r="31" customFormat="false" ht="15" hidden="false" customHeight="true" outlineLevel="0" collapsed="false">
      <c r="A31" s="15" t="s">
        <v>275</v>
      </c>
      <c r="B31" s="34"/>
      <c r="C31" s="34"/>
      <c r="D31" s="34"/>
      <c r="E31" s="34"/>
      <c r="F31" s="25"/>
      <c r="G31" s="34"/>
      <c r="H31" s="34"/>
      <c r="I31" s="34"/>
      <c r="J31" s="34"/>
      <c r="K31" s="34"/>
      <c r="L31" s="34"/>
      <c r="M31" s="34"/>
    </row>
    <row r="32" customFormat="false" ht="15" hidden="false" customHeight="true" outlineLevel="0" collapsed="false">
      <c r="A32" s="15" t="s">
        <v>275</v>
      </c>
      <c r="B32" s="34"/>
      <c r="C32" s="34"/>
      <c r="D32" s="34"/>
      <c r="E32" s="34"/>
      <c r="F32" s="25"/>
      <c r="G32" s="34"/>
      <c r="H32" s="34"/>
      <c r="I32" s="34"/>
      <c r="J32" s="34"/>
      <c r="K32" s="34"/>
      <c r="L32" s="34"/>
      <c r="M32" s="34"/>
    </row>
    <row r="33" customFormat="false" ht="15" hidden="false" customHeight="true" outlineLevel="0" collapsed="false">
      <c r="A33" s="15" t="s">
        <v>276</v>
      </c>
      <c r="B33" s="34"/>
      <c r="C33" s="34"/>
      <c r="D33" s="34"/>
      <c r="E33" s="34"/>
      <c r="F33" s="25"/>
      <c r="G33" s="34"/>
      <c r="H33" s="34"/>
      <c r="I33" s="34"/>
      <c r="J33" s="34"/>
      <c r="K33" s="34"/>
      <c r="L33" s="34"/>
      <c r="M33" s="34"/>
    </row>
    <row r="34" customFormat="false" ht="15" hidden="false" customHeight="true" outlineLevel="0" collapsed="false">
      <c r="A34" s="15" t="s">
        <v>276</v>
      </c>
      <c r="B34" s="34"/>
      <c r="C34" s="34"/>
      <c r="D34" s="34"/>
      <c r="E34" s="34"/>
      <c r="F34" s="25"/>
      <c r="G34" s="34"/>
      <c r="H34" s="34"/>
      <c r="I34" s="34"/>
      <c r="J34" s="34"/>
      <c r="K34" s="34"/>
      <c r="L34" s="34"/>
      <c r="M34" s="34"/>
    </row>
    <row r="35" customFormat="false" ht="15" hidden="false" customHeight="true" outlineLevel="0" collapsed="false">
      <c r="A35" s="15" t="s">
        <v>276</v>
      </c>
      <c r="B35" s="34"/>
      <c r="C35" s="34"/>
      <c r="D35" s="34"/>
      <c r="E35" s="34"/>
      <c r="F35" s="25"/>
      <c r="G35" s="34"/>
      <c r="H35" s="34"/>
      <c r="I35" s="34"/>
      <c r="J35" s="34"/>
      <c r="K35" s="34"/>
      <c r="L35" s="34"/>
      <c r="M35" s="34"/>
    </row>
    <row r="36" customFormat="false" ht="15" hidden="false" customHeight="true" outlineLevel="0" collapsed="false">
      <c r="A36" s="11" t="s">
        <v>174</v>
      </c>
      <c r="B36" s="34"/>
      <c r="C36" s="34"/>
      <c r="D36" s="34"/>
      <c r="E36" s="34"/>
      <c r="F36" s="25"/>
      <c r="G36" s="34"/>
      <c r="H36" s="34"/>
      <c r="I36" s="34"/>
      <c r="J36" s="34"/>
      <c r="K36" s="34"/>
      <c r="L36" s="34"/>
      <c r="M36" s="34"/>
    </row>
    <row r="37" customFormat="false" ht="15" hidden="false" customHeight="true" outlineLevel="0" collapsed="false">
      <c r="A37" s="11" t="s">
        <v>174</v>
      </c>
      <c r="B37" s="34"/>
      <c r="C37" s="34"/>
      <c r="D37" s="34"/>
      <c r="E37" s="34"/>
      <c r="F37" s="25"/>
      <c r="G37" s="34"/>
      <c r="H37" s="34"/>
      <c r="I37" s="34"/>
      <c r="J37" s="34"/>
      <c r="K37" s="34"/>
      <c r="L37" s="34"/>
      <c r="M37" s="34"/>
    </row>
    <row r="38" customFormat="false" ht="15" hidden="false" customHeight="true" outlineLevel="0" collapsed="false">
      <c r="A38" s="11" t="s">
        <v>174</v>
      </c>
      <c r="B38" s="34"/>
      <c r="C38" s="34"/>
      <c r="D38" s="34"/>
      <c r="E38" s="34"/>
      <c r="F38" s="25"/>
      <c r="G38" s="34"/>
      <c r="H38" s="34"/>
      <c r="I38" s="34"/>
      <c r="J38" s="34"/>
      <c r="K38" s="34"/>
      <c r="L38" s="34"/>
      <c r="M38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9" t="s">
        <v>277</v>
      </c>
    </row>
    <row r="2" customFormat="false" ht="15" hidden="false" customHeight="true" outlineLevel="0" collapsed="false">
      <c r="A2" s="3" t="s">
        <v>278</v>
      </c>
    </row>
    <row r="4" customFormat="false" ht="30" hidden="false" customHeight="true" outlineLevel="0" collapsed="false">
      <c r="A4" s="16" t="s">
        <v>279</v>
      </c>
      <c r="B4" s="16" t="s">
        <v>280</v>
      </c>
      <c r="C4" s="16" t="s">
        <v>281</v>
      </c>
      <c r="D4" s="16" t="s">
        <v>282</v>
      </c>
      <c r="E4" s="16" t="s">
        <v>283</v>
      </c>
      <c r="F4" s="16" t="s">
        <v>30</v>
      </c>
    </row>
    <row r="5" customFormat="false" ht="43.5" hidden="false" customHeight="true" outlineLevel="0" collapsed="false">
      <c r="A5" s="11" t="s">
        <v>284</v>
      </c>
      <c r="B5" s="35" t="n">
        <v>0.105</v>
      </c>
      <c r="C5" s="35" t="n">
        <v>0.06</v>
      </c>
      <c r="D5" s="35" t="n">
        <v>0.4</v>
      </c>
      <c r="E5" s="35" t="n">
        <v>0.3</v>
      </c>
      <c r="F5" s="14" t="s">
        <v>285</v>
      </c>
    </row>
    <row r="6" customFormat="false" ht="43.5" hidden="false" customHeight="true" outlineLevel="0" collapsed="false">
      <c r="A6" s="11" t="s">
        <v>286</v>
      </c>
      <c r="B6" s="35" t="n">
        <v>0.135</v>
      </c>
      <c r="C6" s="35" t="n">
        <v>0.03</v>
      </c>
      <c r="D6" s="35" t="n">
        <v>0.45</v>
      </c>
      <c r="E6" s="35" t="n">
        <v>0.6</v>
      </c>
      <c r="F6" s="14" t="s">
        <v>287</v>
      </c>
    </row>
    <row r="7" customFormat="false" ht="57.75" hidden="false" customHeight="true" outlineLevel="0" collapsed="false">
      <c r="A7" s="11" t="s">
        <v>288</v>
      </c>
      <c r="B7" s="35" t="n">
        <v>0.19</v>
      </c>
      <c r="C7" s="35" t="n">
        <v>0.015</v>
      </c>
      <c r="D7" s="35" t="n">
        <v>0.45</v>
      </c>
      <c r="E7" s="35" t="n">
        <v>0.55</v>
      </c>
      <c r="F7" s="14" t="s">
        <v>289</v>
      </c>
    </row>
    <row r="8" customFormat="false" ht="29.25" hidden="false" customHeight="true" outlineLevel="0" collapsed="false">
      <c r="A8" s="11" t="s">
        <v>290</v>
      </c>
      <c r="B8" s="35" t="n">
        <v>0.294</v>
      </c>
      <c r="C8" s="35" t="n">
        <v>0.004</v>
      </c>
      <c r="D8" s="35" t="n">
        <v>0.5</v>
      </c>
      <c r="E8" s="35" t="n">
        <v>0.4</v>
      </c>
      <c r="F8" s="14" t="s">
        <v>291</v>
      </c>
    </row>
    <row r="9" customFormat="false" ht="100.5" hidden="false" customHeight="true" outlineLevel="0" collapsed="false">
      <c r="A9" s="36" t="s">
        <v>292</v>
      </c>
      <c r="B9" s="37" t="n">
        <f aca="false">SUMPRODUCT(B5:B8,C5:C8,D5:D8,E5:E8)</f>
        <v>0.002790075</v>
      </c>
      <c r="F9" s="14" t="s">
        <v>293</v>
      </c>
    </row>
    <row r="10" customFormat="false" ht="29.25" hidden="false" customHeight="true" outlineLevel="0" collapsed="false">
      <c r="A10" s="36" t="s">
        <v>294</v>
      </c>
      <c r="B10" s="38" t="n">
        <f aca="false">SUMPRODUCT(B5:B8,C5:C8)</f>
        <v>0.014376</v>
      </c>
    </row>
    <row r="11" customFormat="false" ht="29.25" hidden="false" customHeight="true" outlineLevel="0" collapsed="false">
      <c r="A11" s="36" t="s">
        <v>295</v>
      </c>
      <c r="B11" s="38" t="n">
        <f aca="false">SUMPRODUCT(B5:B8,C5:C8,D5:D8)</f>
        <v>0.006213</v>
      </c>
    </row>
    <row r="13" customFormat="false" ht="30" hidden="false" customHeight="true" outlineLevel="0" collapsed="false">
      <c r="A13" s="16" t="s">
        <v>296</v>
      </c>
      <c r="B13" s="24" t="s">
        <v>297</v>
      </c>
      <c r="C13" s="16" t="s">
        <v>298</v>
      </c>
      <c r="D13" s="16" t="s">
        <v>299</v>
      </c>
      <c r="E13" s="16" t="s">
        <v>300</v>
      </c>
      <c r="F13" s="16" t="s">
        <v>301</v>
      </c>
      <c r="G13" s="16" t="s">
        <v>302</v>
      </c>
      <c r="H13" s="16" t="s">
        <v>303</v>
      </c>
    </row>
    <row r="14" customFormat="false" ht="15" hidden="false" customHeight="true" outlineLevel="0" collapsed="false">
      <c r="A14" s="15" t="s">
        <v>304</v>
      </c>
      <c r="B14" s="25" t="n">
        <v>223017</v>
      </c>
      <c r="C14" s="25" t="n">
        <v>220808</v>
      </c>
      <c r="D14" s="39" t="n">
        <v>1</v>
      </c>
      <c r="E14" s="27" t="n">
        <f aca="false">B14*$B$10</f>
        <v>3206.092392</v>
      </c>
      <c r="F14" s="27" t="n">
        <f aca="false">B14*$B$11</f>
        <v>1385.604621</v>
      </c>
      <c r="G14" s="27" t="n">
        <f aca="false">B14*$B$9</f>
        <v>622.234156275</v>
      </c>
      <c r="H14" s="27" t="n">
        <f aca="false">IF(D14=0,"沒有私人球館",G14/D14)</f>
        <v>622.234156275</v>
      </c>
    </row>
    <row r="15" customFormat="false" ht="15" hidden="false" customHeight="true" outlineLevel="0" collapsed="false">
      <c r="A15" s="15" t="s">
        <v>305</v>
      </c>
      <c r="B15" s="25" t="n">
        <v>106287</v>
      </c>
      <c r="C15" s="25" t="n">
        <v>97914</v>
      </c>
      <c r="D15" s="39" t="n">
        <v>0</v>
      </c>
      <c r="E15" s="27" t="n">
        <f aca="false">B15*$B$10</f>
        <v>1527.981912</v>
      </c>
      <c r="F15" s="27" t="n">
        <f aca="false">B15*$B$11</f>
        <v>660.361131</v>
      </c>
      <c r="G15" s="27" t="n">
        <f aca="false">B15*$B$9</f>
        <v>296.548701525</v>
      </c>
      <c r="H15" s="27" t="str">
        <f aca="false">IF(D15=0,"沒有私人球館",G15/D15)</f>
        <v>沒有私人球館</v>
      </c>
    </row>
    <row r="16" customFormat="false" ht="15" hidden="false" customHeight="true" outlineLevel="0" collapsed="false">
      <c r="A16" s="15" t="s">
        <v>306</v>
      </c>
      <c r="B16" s="25" t="n">
        <v>99774</v>
      </c>
      <c r="C16" s="25" t="n">
        <v>84920</v>
      </c>
      <c r="D16" s="39" t="n">
        <v>0</v>
      </c>
      <c r="E16" s="27" t="n">
        <f aca="false">B16*$B$10</f>
        <v>1434.351024</v>
      </c>
      <c r="F16" s="27" t="n">
        <f aca="false">B16*$B$11</f>
        <v>619.895862</v>
      </c>
      <c r="G16" s="27" t="n">
        <f aca="false">B16*$B$9</f>
        <v>278.37694305</v>
      </c>
      <c r="H16" s="27" t="str">
        <f aca="false">IF(D16=0,"沒有私人球館",G16/D16)</f>
        <v>沒有私人球館</v>
      </c>
    </row>
    <row r="17" customFormat="false" ht="15" hidden="false" customHeight="true" outlineLevel="0" collapsed="false">
      <c r="A17" s="15" t="s">
        <v>307</v>
      </c>
      <c r="B17" s="25" t="n">
        <v>65910</v>
      </c>
      <c r="C17" s="25"/>
      <c r="D17" s="39" t="n">
        <v>0</v>
      </c>
      <c r="E17" s="27" t="n">
        <f aca="false">B17*$B$10</f>
        <v>947.52216</v>
      </c>
      <c r="F17" s="27" t="n">
        <f aca="false">B17*$B$11</f>
        <v>409.49883</v>
      </c>
      <c r="G17" s="27" t="n">
        <f aca="false">B17*$B$9</f>
        <v>183.89384325</v>
      </c>
      <c r="H17" s="27" t="str">
        <f aca="false">IF(D17=0,"沒有私人球館",G17/D17)</f>
        <v>沒有私人球館</v>
      </c>
    </row>
    <row r="18" customFormat="false" ht="15" hidden="false" customHeight="true" outlineLevel="0" collapsed="false">
      <c r="A18" s="15" t="s">
        <v>308</v>
      </c>
      <c r="B18" s="25" t="n">
        <v>36085</v>
      </c>
      <c r="C18" s="25"/>
      <c r="D18" s="39" t="n">
        <v>0</v>
      </c>
      <c r="E18" s="27" t="n">
        <f aca="false">B18*$B$10</f>
        <v>518.75796</v>
      </c>
      <c r="F18" s="27" t="n">
        <f aca="false">B18*$B$11</f>
        <v>224.196105</v>
      </c>
      <c r="G18" s="27" t="n">
        <f aca="false">B18*$B$9</f>
        <v>100.679856375</v>
      </c>
      <c r="H18" s="27" t="str">
        <f aca="false">IF(D18=0,"沒有私人球館",G18/D18)</f>
        <v>沒有私人球館</v>
      </c>
    </row>
    <row r="19" customFormat="false" ht="15" hidden="false" customHeight="true" outlineLevel="0" collapsed="false">
      <c r="A19" s="15" t="s">
        <v>309</v>
      </c>
      <c r="B19" s="25" t="n">
        <v>29693</v>
      </c>
      <c r="C19" s="25"/>
      <c r="D19" s="39" t="n">
        <v>0</v>
      </c>
      <c r="E19" s="27" t="n">
        <f aca="false">B19*$B$10</f>
        <v>426.866568</v>
      </c>
      <c r="F19" s="27" t="n">
        <f aca="false">B19*$B$11</f>
        <v>184.482609</v>
      </c>
      <c r="G19" s="27" t="n">
        <f aca="false">B19*$B$9</f>
        <v>82.845696975</v>
      </c>
      <c r="H19" s="27" t="str">
        <f aca="false">IF(D19=0,"沒有私人球館",G19/D19)</f>
        <v>沒有私人球館</v>
      </c>
    </row>
    <row r="20" customFormat="false" ht="15" hidden="false" customHeight="true" outlineLevel="0" collapsed="false">
      <c r="A20" s="15" t="s">
        <v>310</v>
      </c>
      <c r="B20" s="25" t="n">
        <v>22154</v>
      </c>
      <c r="C20" s="25"/>
      <c r="D20" s="39" t="n">
        <v>0</v>
      </c>
      <c r="E20" s="27" t="n">
        <f aca="false">B20*$B$10</f>
        <v>318.485904</v>
      </c>
      <c r="F20" s="27" t="n">
        <f aca="false">B20*$B$11</f>
        <v>137.642802</v>
      </c>
      <c r="G20" s="27" t="n">
        <f aca="false">B20*$B$9</f>
        <v>61.81132155</v>
      </c>
      <c r="H20" s="27" t="str">
        <f aca="false">IF(D20=0,"沒有私人球館",G20/D20)</f>
        <v>沒有私人球館</v>
      </c>
    </row>
    <row r="21" customFormat="false" ht="15" hidden="false" customHeight="true" outlineLevel="0" collapsed="false">
      <c r="A21" s="15" t="s">
        <v>311</v>
      </c>
      <c r="B21" s="25" t="n">
        <v>19410</v>
      </c>
      <c r="C21" s="25"/>
      <c r="D21" s="39" t="n">
        <v>9</v>
      </c>
      <c r="E21" s="27" t="n">
        <f aca="false">B21*$B$10</f>
        <v>279.03816</v>
      </c>
      <c r="F21" s="27" t="n">
        <f aca="false">B21*$B$11</f>
        <v>120.59433</v>
      </c>
      <c r="G21" s="27" t="n">
        <f aca="false">B21*$B$9</f>
        <v>54.15535575</v>
      </c>
      <c r="H21" s="27" t="n">
        <f aca="false">IF(D21=0,"沒有私人球館",G21/D21)</f>
        <v>6.01726175</v>
      </c>
    </row>
    <row r="22" customFormat="false" ht="15" hidden="false" customHeight="true" outlineLevel="0" collapsed="false">
      <c r="A22" s="15" t="s">
        <v>312</v>
      </c>
      <c r="B22" s="25" t="n">
        <v>11885</v>
      </c>
      <c r="C22" s="25"/>
      <c r="D22" s="39" t="n">
        <v>0</v>
      </c>
      <c r="E22" s="27" t="n">
        <f aca="false">B22*$B$10</f>
        <v>170.85876</v>
      </c>
      <c r="F22" s="27" t="n">
        <f aca="false">B22*$B$11</f>
        <v>73.841505</v>
      </c>
      <c r="G22" s="27" t="n">
        <f aca="false">B22*$B$9</f>
        <v>33.160041375</v>
      </c>
      <c r="H22" s="27" t="str">
        <f aca="false">IF(D22=0,"沒有私人球館",G22/D22)</f>
        <v>沒有私人球館</v>
      </c>
    </row>
    <row r="23" customFormat="false" ht="15" hidden="false" customHeight="true" outlineLevel="0" collapsed="false">
      <c r="A23" s="15" t="s">
        <v>313</v>
      </c>
      <c r="B23" s="25" t="n">
        <v>7836</v>
      </c>
      <c r="C23" s="25"/>
      <c r="D23" s="39" t="n">
        <v>0</v>
      </c>
      <c r="E23" s="27" t="n">
        <f aca="false">B23*$B$10</f>
        <v>112.650336</v>
      </c>
      <c r="F23" s="27" t="n">
        <f aca="false">B23*$B$11</f>
        <v>48.685068</v>
      </c>
      <c r="G23" s="27" t="n">
        <f aca="false">B23*$B$9</f>
        <v>21.8630277</v>
      </c>
      <c r="H23" s="27" t="str">
        <f aca="false">IF(D23=0,"沒有私人球館",G23/D23)</f>
        <v>沒有私人球館</v>
      </c>
    </row>
    <row r="24" customFormat="false" ht="15" hidden="false" customHeight="true" outlineLevel="0" collapsed="false">
      <c r="A24" s="15" t="s">
        <v>314</v>
      </c>
      <c r="B24" s="25" t="n">
        <v>5116</v>
      </c>
      <c r="C24" s="25"/>
      <c r="D24" s="39" t="n">
        <v>0</v>
      </c>
      <c r="E24" s="27" t="n">
        <f aca="false">B24*$B$10</f>
        <v>73.547616</v>
      </c>
      <c r="F24" s="27" t="n">
        <f aca="false">B24*$B$11</f>
        <v>31.785708</v>
      </c>
      <c r="G24" s="27" t="n">
        <f aca="false">B24*$B$9</f>
        <v>14.2740237</v>
      </c>
      <c r="H24" s="27" t="str">
        <f aca="false">IF(D24=0,"沒有私人球館",G24/D24)</f>
        <v>沒有私人球館</v>
      </c>
    </row>
    <row r="25" customFormat="false" ht="15" hidden="false" customHeight="true" outlineLevel="0" collapsed="false">
      <c r="A25" s="15" t="s">
        <v>315</v>
      </c>
      <c r="B25" s="25" t="n">
        <v>4112</v>
      </c>
      <c r="C25" s="25"/>
      <c r="D25" s="39" t="n">
        <v>0</v>
      </c>
      <c r="E25" s="27" t="n">
        <f aca="false">B25*$B$10</f>
        <v>59.114112</v>
      </c>
      <c r="F25" s="27" t="n">
        <f aca="false">B25*$B$11</f>
        <v>25.547856</v>
      </c>
      <c r="G25" s="27" t="n">
        <f aca="false">B25*$B$9</f>
        <v>11.4727884</v>
      </c>
      <c r="H25" s="27" t="str">
        <f aca="false">IF(D25=0,"沒有私人球館",G25/D25)</f>
        <v>沒有私人球館</v>
      </c>
    </row>
    <row r="26" customFormat="false" ht="15" hidden="false" customHeight="true" outlineLevel="0" collapsed="false">
      <c r="A26" s="15" t="s">
        <v>316</v>
      </c>
      <c r="B26" s="25" t="n">
        <v>1884</v>
      </c>
      <c r="C26" s="25"/>
      <c r="D26" s="39" t="n">
        <v>0</v>
      </c>
      <c r="E26" s="27" t="n">
        <f aca="false">B26*$B$10</f>
        <v>27.084384</v>
      </c>
      <c r="F26" s="27" t="n">
        <f aca="false">B26*$B$11</f>
        <v>11.705292</v>
      </c>
      <c r="G26" s="27" t="n">
        <f aca="false">B26*$B$9</f>
        <v>5.2565013</v>
      </c>
      <c r="H26" s="27" t="str">
        <f aca="false">IF(D26=0,"沒有私人球館",G26/D26)</f>
        <v>沒有私人球館</v>
      </c>
    </row>
    <row r="27" customFormat="false" ht="15" hidden="false" customHeight="true" outlineLevel="0" collapsed="false">
      <c r="A27" s="15" t="s">
        <v>317</v>
      </c>
      <c r="B27" s="25" t="n">
        <v>249873</v>
      </c>
      <c r="C27" s="25"/>
      <c r="D27" s="39" t="n">
        <v>0</v>
      </c>
      <c r="E27" s="27" t="n">
        <f aca="false">B27*$B$10</f>
        <v>3592.174248</v>
      </c>
      <c r="F27" s="27" t="n">
        <f aca="false">B27*$B$11</f>
        <v>1552.460949</v>
      </c>
      <c r="G27" s="27" t="n">
        <f aca="false">B27*$B$9</f>
        <v>697.164410475</v>
      </c>
      <c r="H27" s="27" t="str">
        <f aca="false">IF(D27=0,"沒有私人球館",G27/D27)</f>
        <v>沒有私人球館</v>
      </c>
    </row>
    <row r="28" customFormat="false" ht="15" hidden="false" customHeight="true" outlineLevel="0" collapsed="false">
      <c r="A28" s="15" t="s">
        <v>318</v>
      </c>
      <c r="B28" s="25" t="n">
        <v>153427</v>
      </c>
      <c r="C28" s="25"/>
      <c r="D28" s="39" t="n">
        <v>0</v>
      </c>
      <c r="E28" s="27" t="n">
        <f aca="false">B28*$B$10</f>
        <v>2205.666552</v>
      </c>
      <c r="F28" s="27" t="n">
        <f aca="false">B28*$B$11</f>
        <v>953.241951</v>
      </c>
      <c r="G28" s="27" t="n">
        <f aca="false">B28*$B$9</f>
        <v>428.072837025</v>
      </c>
      <c r="H28" s="27" t="str">
        <f aca="false">IF(D28=0,"沒有私人球館",G28/D28)</f>
        <v>沒有私人球館</v>
      </c>
    </row>
    <row r="29" customFormat="false" ht="15" hidden="false" customHeight="true" outlineLevel="0" collapsed="false">
      <c r="A29" s="15" t="s">
        <v>319</v>
      </c>
      <c r="B29" s="25" t="n">
        <v>96168</v>
      </c>
      <c r="C29" s="25"/>
      <c r="D29" s="39" t="n">
        <v>0</v>
      </c>
      <c r="E29" s="27" t="n">
        <f aca="false">B29*$B$10</f>
        <v>1382.511168</v>
      </c>
      <c r="F29" s="27" t="n">
        <f aca="false">B29*$B$11</f>
        <v>597.491784</v>
      </c>
      <c r="G29" s="27" t="n">
        <f aca="false">B29*$B$9</f>
        <v>268.3159326</v>
      </c>
      <c r="H29" s="27" t="str">
        <f aca="false">IF(D29=0,"沒有私人球館",G29/D29)</f>
        <v>沒有私人球館</v>
      </c>
    </row>
    <row r="30" customFormat="false" ht="15" hidden="false" customHeight="true" outlineLevel="0" collapsed="false">
      <c r="A30" s="21" t="s">
        <v>320</v>
      </c>
      <c r="B30" s="40" t="n">
        <f aca="false">SUM(B14:B29)</f>
        <v>1132631</v>
      </c>
      <c r="C30" s="41"/>
      <c r="D30" s="40" t="n">
        <f aca="false">SUM(D14:D29)</f>
        <v>10</v>
      </c>
      <c r="E30" s="40" t="n">
        <f aca="false">SUM(E14:E29)</f>
        <v>16282.703256</v>
      </c>
      <c r="F30" s="40" t="n">
        <f aca="false">SUM(F14:F29)</f>
        <v>7037.036403</v>
      </c>
      <c r="G30" s="40" t="n">
        <f aca="false">SUM(G14:G29)</f>
        <v>3160.125437325</v>
      </c>
      <c r="H30" s="40" t="n">
        <f aca="false">G30/D30</f>
        <v>316.0125437325</v>
      </c>
    </row>
    <row r="32" customFormat="false" ht="15" hidden="false" customHeight="true" outlineLevel="0" collapsed="false">
      <c r="A32" s="30" t="s">
        <v>321</v>
      </c>
    </row>
    <row r="33" customFormat="false" ht="30" hidden="false" customHeight="true" outlineLevel="0" collapsed="false">
      <c r="A33" s="16" t="s">
        <v>279</v>
      </c>
      <c r="B33" s="16" t="s">
        <v>322</v>
      </c>
      <c r="C33" s="16" t="s">
        <v>323</v>
      </c>
      <c r="D33" s="16" t="s">
        <v>324</v>
      </c>
      <c r="E33" s="16" t="s">
        <v>325</v>
      </c>
      <c r="F33" s="16"/>
      <c r="G33" s="16"/>
      <c r="H33" s="16"/>
    </row>
    <row r="34" customFormat="false" ht="15" hidden="false" customHeight="true" outlineLevel="0" collapsed="false">
      <c r="A34" s="42" t="str">
        <f aca="false">A5</f>
        <v>15–24 歲</v>
      </c>
      <c r="B34" s="27" t="n">
        <f aca="false">$B$30*B5</f>
        <v>118926.255</v>
      </c>
      <c r="C34" s="27" t="n">
        <f aca="false">B34*C5</f>
        <v>7135.5753</v>
      </c>
      <c r="D34" s="27" t="n">
        <f aca="false">C34*D5</f>
        <v>2854.23012</v>
      </c>
      <c r="E34" s="27" t="n">
        <f aca="false">D34*E5</f>
        <v>856.269036</v>
      </c>
    </row>
    <row r="35" customFormat="false" ht="15" hidden="false" customHeight="true" outlineLevel="0" collapsed="false">
      <c r="A35" s="42" t="str">
        <f aca="false">A6</f>
        <v>25–34 歲</v>
      </c>
      <c r="B35" s="27" t="n">
        <f aca="false">$B$30*B6</f>
        <v>152905.185</v>
      </c>
      <c r="C35" s="27" t="n">
        <f aca="false">B35*C6</f>
        <v>4587.15555</v>
      </c>
      <c r="D35" s="27" t="n">
        <f aca="false">C35*D6</f>
        <v>2064.2199975</v>
      </c>
      <c r="E35" s="27" t="n">
        <f aca="false">D35*E6</f>
        <v>1238.5319985</v>
      </c>
    </row>
    <row r="36" customFormat="false" ht="15" hidden="false" customHeight="true" outlineLevel="0" collapsed="false">
      <c r="A36" s="42" t="str">
        <f aca="false">A7</f>
        <v>35–44 歲</v>
      </c>
      <c r="B36" s="27" t="n">
        <f aca="false">$B$30*B7</f>
        <v>215199.89</v>
      </c>
      <c r="C36" s="27" t="n">
        <f aca="false">B36*C7</f>
        <v>3227.99835</v>
      </c>
      <c r="D36" s="27" t="n">
        <f aca="false">C36*D7</f>
        <v>1452.5992575</v>
      </c>
      <c r="E36" s="27" t="n">
        <f aca="false">D36*E7</f>
        <v>798.929591625</v>
      </c>
    </row>
    <row r="37" customFormat="false" ht="15" hidden="false" customHeight="true" outlineLevel="0" collapsed="false">
      <c r="A37" s="42" t="str">
        <f aca="false">A8</f>
        <v>45–64 歲</v>
      </c>
      <c r="B37" s="27" t="n">
        <f aca="false">$B$30*B8</f>
        <v>332993.514</v>
      </c>
      <c r="C37" s="27" t="n">
        <f aca="false">B37*C8</f>
        <v>1331.974056</v>
      </c>
      <c r="D37" s="27" t="n">
        <f aca="false">C37*D8</f>
        <v>665.987028</v>
      </c>
      <c r="E37" s="27" t="n">
        <f aca="false">D37*E8</f>
        <v>266.3948112</v>
      </c>
    </row>
    <row r="38" customFormat="false" ht="15" hidden="false" customHeight="true" outlineLevel="0" collapsed="false">
      <c r="A38" s="21" t="s">
        <v>50</v>
      </c>
      <c r="B38" s="40" t="n">
        <f aca="false">SUM(B34:B37)</f>
        <v>820024.844</v>
      </c>
      <c r="C38" s="40" t="n">
        <f aca="false">SUM(C34:C37)</f>
        <v>16282.703256</v>
      </c>
      <c r="D38" s="40" t="n">
        <f aca="false">SUM(D34:D37)</f>
        <v>7037.036403</v>
      </c>
      <c r="E38" s="40" t="n">
        <f aca="false">SUM(E34:E37)</f>
        <v>3160.125437325</v>
      </c>
    </row>
    <row r="40" customFormat="false" ht="15" hidden="false" customHeight="true" outlineLevel="0" collapsed="false">
      <c r="A40" s="30" t="s">
        <v>326</v>
      </c>
    </row>
    <row r="41" customFormat="false" ht="15" hidden="false" customHeight="true" outlineLevel="0" collapsed="false">
      <c r="A41" s="36" t="s">
        <v>327</v>
      </c>
      <c r="B41" s="27" t="n">
        <f aca="false">D30</f>
        <v>10</v>
      </c>
      <c r="C41" s="13" t="s">
        <v>328</v>
      </c>
      <c r="D41" s="13"/>
      <c r="E41" s="13"/>
      <c r="F41" s="13"/>
      <c r="G41" s="13"/>
      <c r="H41" s="13"/>
    </row>
    <row r="42" customFormat="false" ht="29.25" hidden="false" customHeight="true" outlineLevel="0" collapsed="false">
      <c r="A42" s="15" t="s">
        <v>329</v>
      </c>
      <c r="B42" s="12" t="n">
        <v>150</v>
      </c>
      <c r="C42" s="14" t="s">
        <v>330</v>
      </c>
      <c r="D42" s="14"/>
      <c r="E42" s="14"/>
      <c r="F42" s="14"/>
      <c r="G42" s="14"/>
      <c r="H42" s="14"/>
    </row>
    <row r="43" customFormat="false" ht="15" hidden="false" customHeight="true" outlineLevel="0" collapsed="false">
      <c r="A43" s="15" t="s">
        <v>331</v>
      </c>
      <c r="B43" s="43" t="n">
        <v>0.6</v>
      </c>
      <c r="C43" s="14" t="s">
        <v>332</v>
      </c>
      <c r="D43" s="14"/>
      <c r="E43" s="14"/>
      <c r="F43" s="14"/>
      <c r="G43" s="14"/>
      <c r="H43" s="14"/>
    </row>
    <row r="44" customFormat="false" ht="15" hidden="false" customHeight="true" outlineLevel="0" collapsed="false">
      <c r="A44" s="15" t="s">
        <v>333</v>
      </c>
      <c r="B44" s="12" t="n">
        <v>13</v>
      </c>
      <c r="C44" s="14" t="s">
        <v>334</v>
      </c>
      <c r="D44" s="14"/>
      <c r="E44" s="14"/>
      <c r="F44" s="14"/>
      <c r="G44" s="14"/>
      <c r="H44" s="14"/>
    </row>
    <row r="45" customFormat="false" ht="15" hidden="false" customHeight="true" outlineLevel="0" collapsed="false">
      <c r="A45" s="15" t="s">
        <v>335</v>
      </c>
      <c r="B45" s="44" t="n">
        <v>3.5</v>
      </c>
      <c r="C45" s="14" t="s">
        <v>332</v>
      </c>
      <c r="D45" s="14"/>
      <c r="E45" s="14"/>
      <c r="F45" s="14"/>
      <c r="G45" s="14"/>
      <c r="H45" s="14"/>
    </row>
    <row r="46" customFormat="false" ht="29.25" hidden="false" customHeight="true" outlineLevel="0" collapsed="false">
      <c r="A46" s="36" t="s">
        <v>336</v>
      </c>
      <c r="B46" s="27" t="n">
        <f aca="false">B41*B42*B43*B44/B45</f>
        <v>3342.85714285714</v>
      </c>
      <c r="C46" s="14" t="s">
        <v>337</v>
      </c>
      <c r="D46" s="14"/>
      <c r="E46" s="14"/>
      <c r="F46" s="14"/>
      <c r="G46" s="14"/>
      <c r="H46" s="14"/>
    </row>
    <row r="47" customFormat="false" ht="29.25" hidden="false" customHeight="true" outlineLevel="0" collapsed="false">
      <c r="A47" s="36" t="s">
        <v>338</v>
      </c>
      <c r="B47" s="27" t="n">
        <f aca="false">G30</f>
        <v>3160.125437325</v>
      </c>
      <c r="C47" s="14" t="s">
        <v>339</v>
      </c>
      <c r="D47" s="14"/>
      <c r="E47" s="14"/>
      <c r="F47" s="14"/>
      <c r="G47" s="14"/>
      <c r="H47" s="14"/>
    </row>
    <row r="48" customFormat="false" ht="15" hidden="false" customHeight="true" outlineLevel="0" collapsed="false">
      <c r="A48" s="36" t="s">
        <v>340</v>
      </c>
      <c r="B48" s="45" t="n">
        <f aca="false">B47/B46</f>
        <v>0.945336669285256</v>
      </c>
      <c r="C48" s="14" t="s">
        <v>341</v>
      </c>
      <c r="D48" s="14"/>
      <c r="E48" s="14"/>
      <c r="F48" s="14"/>
      <c r="G48" s="14"/>
      <c r="H48" s="14"/>
    </row>
    <row r="51" customFormat="false" ht="18.75" hidden="false" customHeight="true" outlineLevel="0" collapsed="false">
      <c r="A51" s="30" t="s">
        <v>342</v>
      </c>
    </row>
    <row r="52" customFormat="false" ht="29.25" hidden="false" customHeight="true" outlineLevel="0" collapsed="false">
      <c r="A52" s="11" t="s">
        <v>343</v>
      </c>
      <c r="B52" s="43" t="n">
        <v>0.45</v>
      </c>
      <c r="C52" s="14" t="s">
        <v>344</v>
      </c>
      <c r="D52" s="14"/>
      <c r="E52" s="14"/>
      <c r="F52" s="14"/>
      <c r="G52" s="14"/>
      <c r="H52" s="14"/>
    </row>
    <row r="53" customFormat="false" ht="29.25" hidden="false" customHeight="true" outlineLevel="0" collapsed="false">
      <c r="A53" s="11" t="s">
        <v>345</v>
      </c>
      <c r="B53" s="43" t="n">
        <v>0.2</v>
      </c>
      <c r="C53" s="13"/>
      <c r="D53" s="13"/>
      <c r="E53" s="13"/>
      <c r="F53" s="13"/>
      <c r="G53" s="13"/>
      <c r="H53" s="13"/>
    </row>
    <row r="54" customFormat="false" ht="15" hidden="false" customHeight="true" outlineLevel="0" collapsed="false">
      <c r="A54" s="36" t="s">
        <v>346</v>
      </c>
      <c r="B54" s="27" t="n">
        <f aca="false">(54*B52+96*B53)*B44</f>
        <v>565.5</v>
      </c>
      <c r="C54" s="14" t="s">
        <v>347</v>
      </c>
      <c r="D54" s="14"/>
      <c r="E54" s="14"/>
      <c r="F54" s="14"/>
      <c r="G54" s="14"/>
      <c r="H54" s="14"/>
    </row>
    <row r="55" customFormat="false" ht="15" hidden="false" customHeight="true" outlineLevel="0" collapsed="false">
      <c r="A55" s="36" t="s">
        <v>348</v>
      </c>
      <c r="B55" s="27" t="n">
        <f aca="false">B54/B45</f>
        <v>161.571428571429</v>
      </c>
      <c r="C55" s="13"/>
      <c r="D55" s="13"/>
      <c r="E55" s="13"/>
      <c r="F55" s="13"/>
      <c r="G55" s="13"/>
      <c r="H55" s="13"/>
    </row>
    <row r="56" customFormat="false" ht="29.25" hidden="false" customHeight="true" outlineLevel="0" collapsed="false">
      <c r="A56" s="36" t="s">
        <v>349</v>
      </c>
      <c r="B56" s="27" t="n">
        <f aca="false">G15+G20</f>
        <v>358.360023075</v>
      </c>
      <c r="C56" s="13"/>
      <c r="D56" s="13"/>
      <c r="E56" s="13"/>
      <c r="F56" s="13"/>
      <c r="G56" s="13"/>
      <c r="H56" s="13"/>
    </row>
    <row r="57" customFormat="false" ht="29.25" hidden="false" customHeight="true" outlineLevel="0" collapsed="false">
      <c r="A57" s="36" t="s">
        <v>350</v>
      </c>
      <c r="B57" s="27" t="n">
        <f aca="false">G15+G20+G22+G23+G24+G25+G26</f>
        <v>444.38640555</v>
      </c>
      <c r="C57" s="13"/>
      <c r="D57" s="13"/>
      <c r="E57" s="13"/>
      <c r="F57" s="13"/>
      <c r="G57" s="13"/>
      <c r="H57" s="13"/>
    </row>
    <row r="58" customFormat="false" ht="29.25" hidden="false" customHeight="true" outlineLevel="0" collapsed="false">
      <c r="A58" s="36" t="s">
        <v>351</v>
      </c>
      <c r="B58" s="46" t="n">
        <f aca="false">B55/B56</f>
        <v>0.450863428306047</v>
      </c>
      <c r="C58" s="14" t="s">
        <v>352</v>
      </c>
      <c r="D58" s="14"/>
      <c r="E58" s="14"/>
      <c r="F58" s="14"/>
      <c r="G58" s="14"/>
      <c r="H58" s="14"/>
    </row>
    <row r="59" customFormat="false" ht="15" hidden="false" customHeight="true" outlineLevel="0" collapsed="false">
      <c r="A59" s="36" t="s">
        <v>353</v>
      </c>
      <c r="B59" s="46" t="n">
        <f aca="false">B55/B57</f>
        <v>0.363583193710568</v>
      </c>
      <c r="C59" s="13"/>
      <c r="D59" s="13"/>
      <c r="E59" s="13"/>
      <c r="F59" s="13"/>
      <c r="G59" s="13"/>
      <c r="H59" s="13"/>
    </row>
    <row r="62" customFormat="false" ht="15" hidden="false" customHeight="true" outlineLevel="0" collapsed="false">
      <c r="A62" s="30" t="s">
        <v>224</v>
      </c>
    </row>
    <row r="63" customFormat="false" ht="15" hidden="false" customHeight="true" outlineLevel="0" collapsed="false">
      <c r="A63" s="47" t="s">
        <v>354</v>
      </c>
      <c r="D63" s="48" t="s">
        <v>74</v>
      </c>
    </row>
    <row r="64" customFormat="false" ht="15" hidden="false" customHeight="true" outlineLevel="0" collapsed="false">
      <c r="A64" s="47" t="s">
        <v>355</v>
      </c>
      <c r="D64" s="48" t="s">
        <v>74</v>
      </c>
    </row>
    <row r="65" customFormat="false" ht="15" hidden="false" customHeight="true" outlineLevel="0" collapsed="false">
      <c r="A65" s="47" t="s">
        <v>356</v>
      </c>
      <c r="D65" s="48" t="s">
        <v>74</v>
      </c>
    </row>
    <row r="66" customFormat="false" ht="15" hidden="false" customHeight="true" outlineLevel="0" collapsed="false">
      <c r="A66" s="47" t="s">
        <v>357</v>
      </c>
      <c r="D66" s="48" t="s">
        <v>74</v>
      </c>
    </row>
    <row r="67" customFormat="false" ht="15" hidden="false" customHeight="true" outlineLevel="0" collapsed="false">
      <c r="A67" s="47" t="s">
        <v>358</v>
      </c>
      <c r="D67" s="48" t="s">
        <v>74</v>
      </c>
    </row>
    <row r="68" customFormat="false" ht="15" hidden="false" customHeight="true" outlineLevel="0" collapsed="false">
      <c r="A68" s="47" t="s">
        <v>359</v>
      </c>
      <c r="D68" s="48" t="s">
        <v>74</v>
      </c>
    </row>
  </sheetData>
  <mergeCells count="16">
    <mergeCell ref="C41:H41"/>
    <mergeCell ref="C42:H42"/>
    <mergeCell ref="C43:H43"/>
    <mergeCell ref="C44:H44"/>
    <mergeCell ref="C45:H45"/>
    <mergeCell ref="C46:H46"/>
    <mergeCell ref="C47:H47"/>
    <mergeCell ref="C48:H48"/>
    <mergeCell ref="C52:H52"/>
    <mergeCell ref="C53:H53"/>
    <mergeCell ref="C54:H54"/>
    <mergeCell ref="C55:H55"/>
    <mergeCell ref="C56:H56"/>
    <mergeCell ref="C57:H57"/>
    <mergeCell ref="C58:H58"/>
    <mergeCell ref="C59:H59"/>
  </mergeCells>
  <hyperlinks>
    <hyperlink ref="D63" r:id="rId2" display="開啟連結"/>
    <hyperlink ref="D64" r:id="rId3" display="開啟連結"/>
    <hyperlink ref="D65" r:id="rId4" display="開啟連結"/>
    <hyperlink ref="D66" r:id="rId5" display="開啟連結"/>
    <hyperlink ref="D67" r:id="rId6" display="開啟連結"/>
    <hyperlink ref="D68" r:id="rId7" display="開啟連結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2026-10-21T12:51:43Z</dcterms:created>
  <dc:creator>openpyxl</dc:creator>
  <dc:description/>
  <dc:language>en-US</dc:language>
  <cp:lastModifiedBy/>
  <dcterms:modified xsi:type="dcterms:W3CDTF">2026-10-21T18:10:59Z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